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66925"/>
  <mc:AlternateContent xmlns:mc="http://schemas.openxmlformats.org/markup-compatibility/2006">
    <mc:Choice Requires="x15">
      <x15ac:absPath xmlns:x15ac="http://schemas.microsoft.com/office/spreadsheetml/2010/11/ac" url="https://bwmcae.sharepoint.com/sites/BWMC/Shared Documents/Compliance/5. Freezone infomation/"/>
    </mc:Choice>
  </mc:AlternateContent>
  <xr:revisionPtr revIDLastSave="24" documentId="14_{0E327536-508B-4B91-AC80-5E288053AFE5}" xr6:coauthVersionLast="47" xr6:coauthVersionMax="47" xr10:uidLastSave="{9AB1C11D-6E31-4007-9D6E-4B7DDD64BD2B}"/>
  <bookViews>
    <workbookView xWindow="-110" yWindow="-110" windowWidth="19420" windowHeight="10300" tabRatio="599" firstSheet="2" activeTab="9" xr2:uid="{1BFE8C64-C982-41F4-928C-85F8D8E972A8}"/>
  </bookViews>
  <sheets>
    <sheet name="Cheapest " sheetId="12" r:id="rId1"/>
    <sheet name="Payment Plans" sheetId="14" r:id="rId2"/>
    <sheet name="AJMAN" sheetId="2" r:id="rId3"/>
    <sheet name="ANC FZ" sheetId="13" r:id="rId4"/>
    <sheet name="RAKEZ" sheetId="1" r:id="rId5"/>
    <sheet name="SHAMS" sheetId="6" r:id="rId6"/>
    <sheet name="DMCC" sheetId="8" r:id="rId7"/>
    <sheet name="MEYDAN 2025" sheetId="11" r:id="rId8"/>
    <sheet name="IFZA" sheetId="9" r:id="rId9"/>
    <sheet name="SPC" sheetId="10" r:id="rId10"/>
    <sheet name="FUJAIRAH" sheetId="3" r:id="rId11"/>
    <sheet name="JAFZA" sheetId="4" r:id="rId12"/>
    <sheet name="Sheet1" sheetId="15"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 i="2" l="1"/>
  <c r="D15" i="6" l="1"/>
  <c r="D14" i="6"/>
  <c r="D13" i="6"/>
  <c r="D12" i="6"/>
  <c r="D11" i="6"/>
  <c r="D5" i="6"/>
  <c r="D4" i="6"/>
  <c r="D7" i="6" l="1"/>
  <c r="D16" i="6" s="1"/>
</calcChain>
</file>

<file path=xl/sharedStrings.xml><?xml version="1.0" encoding="utf-8"?>
<sst xmlns="http://schemas.openxmlformats.org/spreadsheetml/2006/main" count="494" uniqueCount="391">
  <si>
    <t>RAKEZ packages</t>
  </si>
  <si>
    <t>Years</t>
  </si>
  <si>
    <t>Promo code</t>
  </si>
  <si>
    <t>1 year</t>
  </si>
  <si>
    <t>2 years</t>
  </si>
  <si>
    <t>3 years</t>
  </si>
  <si>
    <t>4 years</t>
  </si>
  <si>
    <t>5 years</t>
  </si>
  <si>
    <t>6 years</t>
  </si>
  <si>
    <t>10 years</t>
  </si>
  <si>
    <t>Number of shreholders/activities permitted</t>
  </si>
  <si>
    <t>Available for Designated Zone</t>
  </si>
  <si>
    <t>Biz Saver series</t>
  </si>
  <si>
    <t>License Fees including Coworking</t>
  </si>
  <si>
    <t>0 visa</t>
  </si>
  <si>
    <t>BIZ 0</t>
  </si>
  <si>
    <t>up to 5 activities &amp; up to 5 shareholders</t>
  </si>
  <si>
    <t>Yes (with different pricing) starting from AED10,000 per year</t>
  </si>
  <si>
    <t>1 visa @ 12,000</t>
  </si>
  <si>
    <t>Biz Saver One</t>
  </si>
  <si>
    <t>One Shareholder and 1 activity  (or combo General Trading + E commerce allowed)</t>
  </si>
  <si>
    <t>No</t>
  </si>
  <si>
    <t>1 visa @ 14,000</t>
  </si>
  <si>
    <t>Biz Saver Plus One</t>
  </si>
  <si>
    <t>Up to 3 activities ; up to 2 shareholders</t>
  </si>
  <si>
    <t>2 visas</t>
  </si>
  <si>
    <t>Biz Saver Plus Two</t>
  </si>
  <si>
    <t>3 visas</t>
  </si>
  <si>
    <t>Biz Saver Plus Three</t>
  </si>
  <si>
    <t>4 visas</t>
  </si>
  <si>
    <t>Biz Saver Plus Four</t>
  </si>
  <si>
    <t>SME All-inclusive series</t>
  </si>
  <si>
    <t>1 visa</t>
  </si>
  <si>
    <t>SME All-in Entrepreneur</t>
  </si>
  <si>
    <t>Up to 5 activities &amp;  up to 5 shareholders</t>
  </si>
  <si>
    <t>Yes (same price)</t>
  </si>
  <si>
    <t>SME All-in Partner</t>
  </si>
  <si>
    <t>SME All-in Venture</t>
  </si>
  <si>
    <t>SME All-in Enterprise</t>
  </si>
  <si>
    <t>License Fees including Serviced office</t>
  </si>
  <si>
    <t>SME All-in Serv One</t>
  </si>
  <si>
    <t>SME All-in Serv Two</t>
  </si>
  <si>
    <t>SME All-in ServThree</t>
  </si>
  <si>
    <t>SME All-in Serv Off</t>
  </si>
  <si>
    <t>License fees Including Standard office</t>
  </si>
  <si>
    <t>SME All-in Std One</t>
  </si>
  <si>
    <t>SME All-in Std Two</t>
  </si>
  <si>
    <t>SME All-in Std Three</t>
  </si>
  <si>
    <t>SME All-in Std Off</t>
  </si>
  <si>
    <t>License fees including Executive office</t>
  </si>
  <si>
    <t>6 visas</t>
  </si>
  <si>
    <t>SME All-in Exec Off</t>
  </si>
  <si>
    <t>All physical office requires refundable deposit ranging between AED500-950</t>
  </si>
  <si>
    <t xml:space="preserve">Immigraiton pre-apprvoal fees included for one Investor and AED100 applicable per additional shareholders, if any. </t>
  </si>
  <si>
    <t>Employee Welfare Insurance (for employee visas only) not included in the free visa package and to be paid seperately.</t>
  </si>
  <si>
    <t>AJMAN</t>
  </si>
  <si>
    <t>FREELANCER</t>
  </si>
  <si>
    <t>PACKAGE</t>
  </si>
  <si>
    <t>VISA</t>
  </si>
  <si>
    <t>1 YEAR</t>
  </si>
  <si>
    <t>VIRTUAL OFFICE</t>
  </si>
  <si>
    <t>Permit</t>
  </si>
  <si>
    <t>Visa</t>
  </si>
  <si>
    <t>VIRTUAL OFFICE- General  Trading</t>
  </si>
  <si>
    <t>PHYSICAL OFFICE (up to 10 visas or more)</t>
  </si>
  <si>
    <r>
      <rPr>
        <b/>
        <sz val="11"/>
        <color theme="1"/>
        <rFont val="Calibri"/>
        <family val="2"/>
        <scheme val="minor"/>
      </rPr>
      <t>Option 1: Up to 5 activities</t>
    </r>
    <r>
      <rPr>
        <sz val="11"/>
        <color theme="1"/>
        <rFont val="Calibri"/>
        <family val="2"/>
        <scheme val="minor"/>
      </rPr>
      <t xml:space="preserve"> (excluding General Trading; consider "Non-Specialized Wholesale Trading" as an alternative). Or Option 2: General Trading Plus 1000 AED per additional activity.</t>
    </r>
  </si>
  <si>
    <r>
      <rPr>
        <b/>
        <sz val="11"/>
        <color theme="1"/>
        <rFont val="Calibri"/>
        <family val="2"/>
        <scheme val="minor"/>
      </rPr>
      <t>General Trading activity</t>
    </r>
    <r>
      <rPr>
        <sz val="11"/>
        <color theme="1"/>
        <rFont val="Calibri"/>
        <family val="2"/>
        <scheme val="minor"/>
      </rPr>
      <t xml:space="preserve"> 1000 AED per additional activity</t>
    </r>
  </si>
  <si>
    <r>
      <rPr>
        <b/>
        <sz val="11"/>
        <color theme="1"/>
        <rFont val="Calibri"/>
        <family val="2"/>
        <scheme val="minor"/>
      </rPr>
      <t>Up to 5 activities</t>
    </r>
    <r>
      <rPr>
        <sz val="11"/>
        <color theme="1"/>
        <rFont val="Calibri"/>
        <family val="2"/>
        <scheme val="minor"/>
      </rPr>
      <t xml:space="preserve"> (excluding General Trading; consider "Non-Specialized Wholesale Trading" as an alternative).</t>
    </r>
  </si>
  <si>
    <t>0 VISA</t>
  </si>
  <si>
    <t>1 VISA</t>
  </si>
  <si>
    <t>2 VISAS</t>
  </si>
  <si>
    <t>3 VISAS</t>
  </si>
  <si>
    <t>4 VISAS</t>
  </si>
  <si>
    <t>1 sole professional activity</t>
  </si>
  <si>
    <t>Activity</t>
  </si>
  <si>
    <t>SH</t>
  </si>
  <si>
    <t>1 freelancer</t>
  </si>
  <si>
    <t>Up to 5 Shareholders</t>
  </si>
  <si>
    <t>Visa packages included: •1 activity as profession •Sole professional permit •Lease agreement •Establishment card •eChannel •Security approval •UAE Residency visa, medical test, Emirates ID •Visa status change •100 AED additional if doing the medical test in Dubai</t>
  </si>
  <si>
    <t>Details</t>
  </si>
  <si>
    <t>Passports copy, UAE Visa copy, EID copy (if applicable) and Photo, CV Visa applicants are required to obtain insurance from an authorized insurance provider</t>
  </si>
  <si>
    <t>Passports copy, UAE Visa copy, EID copy (if applicable) and Photo Visa applicants are required to obtain insurance from an authorized insurance provider</t>
  </si>
  <si>
    <t>Required</t>
  </si>
  <si>
    <r>
      <t xml:space="preserve">Health Insurance (mandatory for </t>
    </r>
    <r>
      <rPr>
        <b/>
        <sz val="12"/>
        <color theme="1"/>
        <rFont val="Calibri"/>
        <family val="2"/>
        <scheme val="minor"/>
      </rPr>
      <t>all</t>
    </r>
    <r>
      <rPr>
        <sz val="12"/>
        <color theme="1"/>
        <rFont val="Calibri"/>
        <family val="2"/>
        <scheme val="minor"/>
      </rPr>
      <t xml:space="preserve"> visa applicants) is not included in the package cost and to be paid seperately.</t>
    </r>
  </si>
  <si>
    <t>Packages included:                                                                                          •Business license                                                                                                    •Lease agreement for coworking space                                                        •Memorandum and Articles of Association                                                     •Commercial Registry Certificate                                                                  •Certificate of incorporation                                                                                    •Share Certificate                                                                                                      •100 AED additional if doing the medical test in Dubai Visa packages included:                                                                                                           •Establishment card                                                                                       •eChannel                                                                                                          •Investor Security approval                                                                                  •UAE Residency visa, medical test, Emirates ID                                                •Visa status change</t>
  </si>
  <si>
    <t>Pricing for 5 to 10 Visas •Extra Visa Quota: 1,500 AED •Additional Visa: 4,200 AED                                  •Note: Clients can apply for more visas by adding multiple offices. Additional Information    •Renewal: Annual renewal at the same package price                •Dubai Medical Test: Additional 100 AED                           •Refundable Deposit included: 500 AED Packages included:    •Business license:                    •OAice lease agreement •Memorandum &amp; Articles of Association                    •Commercial Registry Certificate •Certificate of Incorporation •Share Certificate •Establishment card, eChannel •Investor Security approval •UAE Residency visa, medical test, Emirates ID , Visa status change</t>
  </si>
  <si>
    <t>Items</t>
  </si>
  <si>
    <t>Variables</t>
  </si>
  <si>
    <t>Cost</t>
  </si>
  <si>
    <t>License Validity - (Years)</t>
  </si>
  <si>
    <t>Shared Desk - (Mandatory)</t>
  </si>
  <si>
    <t>Visa Allocations</t>
  </si>
  <si>
    <t>Immigration Card</t>
  </si>
  <si>
    <t>Investor/Partner Visas</t>
  </si>
  <si>
    <t>Employee Visas</t>
  </si>
  <si>
    <t>Status Changes - (if inside country)</t>
  </si>
  <si>
    <t>Medical &amp; E-id Assitance - (Optional)</t>
  </si>
  <si>
    <t>Knowledge &amp; innovation fees</t>
  </si>
  <si>
    <t>Per Invoice</t>
  </si>
  <si>
    <t>Total Cost</t>
  </si>
  <si>
    <t>Terms &amp; Conditions:</t>
  </si>
  <si>
    <t>- 15% disocunt is applied automatically on all multi-year setup (license fees + visa allocation fees).</t>
  </si>
  <si>
    <t>- All prices are inclusive of VAT &amp; government fees.</t>
  </si>
  <si>
    <t>- Shared desk facility is Mandatory with all business license packages.</t>
  </si>
  <si>
    <t>- Immigration card renewal fee is 2,200 AED.</t>
  </si>
  <si>
    <t>- Medical &amp; Emirates ID Assistance is optional.</t>
  </si>
  <si>
    <t>-Visa allocations is multiplied with the number of years selected for the license (if you selected 2 years license and want only 1 visa allocation, you must pay for 2 visa allocations, one for each year).</t>
  </si>
  <si>
    <t>Residence Visa</t>
  </si>
  <si>
    <t>1-year Residency Visa</t>
  </si>
  <si>
    <t>2-year Residency Visa</t>
  </si>
  <si>
    <t>Type</t>
  </si>
  <si>
    <t>Fees</t>
  </si>
  <si>
    <t>From AED 2,237*</t>
  </si>
  <si>
    <t>From AED 2,973*</t>
  </si>
  <si>
    <t>This cost may vary based on the applicant’s current UAE residence status. Employee Protection Insurance (EPI) is mandatory for all visa applications and is charged separately.</t>
  </si>
  <si>
    <t>VISA RELATED SERVICES</t>
  </si>
  <si>
    <t>Emirates ID typing service</t>
  </si>
  <si>
    <t>Starting from AED 330</t>
  </si>
  <si>
    <t>Dependent on chosen package* (annual renewal)</t>
  </si>
  <si>
    <t>Medical insurance</t>
  </si>
  <si>
    <t>*Exclusive DMCC Health Insurance Solution through our partners -  Marsh Emirates Insurance Brokers INSURE Website: marsh.com Email id:  insurance.dmcc@marsh.com Contact number: +971 4 573 6200 / +971 4 573 6205</t>
  </si>
  <si>
    <t>SET UP REQUIREMENTS SNAPSHOT</t>
  </si>
  <si>
    <t>Online pre-approval application form</t>
  </si>
  <si>
    <t>Copy of your passport (a copy of the UAE residency visa and Emirates ID if applicable)</t>
  </si>
  <si>
    <t>Proof of residential address in country of residence (for example a utility bill)</t>
  </si>
  <si>
    <t>If setting up a branch or a subsidiary, copies of the parent company documents</t>
  </si>
  <si>
    <t>For certain regulated business activities, third party approvals will be required</t>
  </si>
  <si>
    <t>Details of an office address (flexi desk, serviced offices, physical offices) in DMCC (JLT) will be required after company registration</t>
  </si>
  <si>
    <t>#</t>
  </si>
  <si>
    <t>Normal Medical Fitness Certificate typing service</t>
  </si>
  <si>
    <t>DMCC</t>
  </si>
  <si>
    <r>
      <rPr>
        <sz val="13"/>
        <color rgb="FFFFFFFF"/>
        <rFont val="Tahoma"/>
        <family val="2"/>
      </rPr>
      <t xml:space="preserve">PERSONALIZED OFFICE
</t>
    </r>
    <r>
      <rPr>
        <sz val="9"/>
        <color rgb="FFFFFFFF"/>
        <rFont val="Tahoma"/>
        <family val="2"/>
      </rPr>
      <t xml:space="preserve">20 SQM AND ABOVE
</t>
    </r>
    <r>
      <rPr>
        <sz val="6.5"/>
        <color rgb="FFFFFFFF"/>
        <rFont val="Tahoma"/>
        <family val="2"/>
      </rPr>
      <t xml:space="preserve">UNLIMITED ACCESS TO A PERSONALIZED OFFICE
</t>
    </r>
    <r>
      <rPr>
        <u/>
        <sz val="7"/>
        <color rgb="FF181717"/>
        <rFont val="Tahoma"/>
        <family val="2"/>
      </rPr>
      <t> AED 2,040 / SQM / YEAR </t>
    </r>
  </si>
  <si>
    <r>
      <rPr>
        <sz val="12.5"/>
        <color rgb="FFFFFFFF"/>
        <rFont val="Calibri"/>
        <family val="2"/>
      </rPr>
      <t xml:space="preserve">Contract Price </t>
    </r>
    <r>
      <rPr>
        <sz val="12.5"/>
        <color rgb="FF20201F"/>
        <rFont val="Calibri"/>
        <family val="2"/>
      </rPr>
      <t xml:space="preserve">LOCKED </t>
    </r>
    <r>
      <rPr>
        <sz val="12.5"/>
        <color rgb="FFFFFFFF"/>
        <rFont val="Calibri"/>
        <family val="2"/>
      </rPr>
      <t>for 2 years</t>
    </r>
  </si>
  <si>
    <r>
      <rPr>
        <sz val="10"/>
        <color rgb="FF20201F"/>
        <rFont val="Tahoma"/>
        <family val="2"/>
      </rPr>
      <t xml:space="preserve">FLEXI DESK
</t>
    </r>
    <r>
      <rPr>
        <sz val="6"/>
        <color rgb="FF20201F"/>
        <rFont val="Tahoma"/>
        <family val="2"/>
      </rPr>
      <t xml:space="preserve">DESK SPACE
</t>
    </r>
    <r>
      <rPr>
        <sz val="5.5"/>
        <color rgb="FFFFFFFF"/>
        <rFont val="Tahoma"/>
        <family val="2"/>
      </rPr>
      <t xml:space="preserve">10 HRS OF FLEXI DESK ACCESS/WEEK*
</t>
    </r>
    <r>
      <rPr>
        <u/>
        <sz val="7"/>
        <color rgb="FF181817"/>
        <rFont val="Tahoma"/>
        <family val="2"/>
      </rPr>
      <t>      AED 8,820 / YEAR      </t>
    </r>
  </si>
  <si>
    <r>
      <rPr>
        <sz val="10"/>
        <color rgb="FF20201F"/>
        <rFont val="Tahoma"/>
        <family val="2"/>
      </rPr>
      <t xml:space="preserve">FLEXI DESK+
</t>
    </r>
    <r>
      <rPr>
        <sz val="6"/>
        <color rgb="FF20201F"/>
        <rFont val="Tahoma"/>
        <family val="2"/>
      </rPr>
      <t xml:space="preserve">DESK SPACE
</t>
    </r>
    <r>
      <rPr>
        <sz val="5.5"/>
        <color rgb="FFE9E9E8"/>
        <rFont val="Tahoma"/>
        <family val="2"/>
      </rPr>
      <t xml:space="preserve">UNLIMITED ACCESS TO FLEXI DESK AREA
</t>
    </r>
    <r>
      <rPr>
        <u/>
        <sz val="7"/>
        <color rgb="FF181817"/>
        <rFont val="Tahoma"/>
        <family val="2"/>
      </rPr>
      <t>      AED 11,880 / YEAR      </t>
    </r>
  </si>
  <si>
    <r>
      <rPr>
        <sz val="10"/>
        <color rgb="FF20201F"/>
        <rFont val="Tahoma"/>
        <family val="2"/>
      </rPr>
      <t xml:space="preserve">DEDICATED OFFICE
</t>
    </r>
    <r>
      <rPr>
        <sz val="6"/>
        <color rgb="FF20201F"/>
        <rFont val="Tahoma"/>
        <family val="2"/>
      </rPr>
      <t xml:space="preserve">10sqm - 16sqm (1 WORKSTATION)
</t>
    </r>
    <r>
      <rPr>
        <sz val="5.5"/>
        <color rgb="FFFFFFFF"/>
        <rFont val="Tahoma"/>
        <family val="2"/>
      </rPr>
      <t xml:space="preserve">90 DAYS ACCESS TO A DEDICATED OFFICE
</t>
    </r>
    <r>
      <rPr>
        <u/>
        <sz val="7"/>
        <color rgb="FF181817"/>
        <rFont val="Tahoma"/>
        <family val="2"/>
      </rPr>
      <t>AED 1,260 / SQM / YEAR  </t>
    </r>
  </si>
  <si>
    <r>
      <rPr>
        <sz val="10"/>
        <color rgb="FF20201F"/>
        <rFont val="Tahoma"/>
        <family val="2"/>
      </rPr>
      <t xml:space="preserve">PRIVATE OFFICE
</t>
    </r>
    <r>
      <rPr>
        <sz val="6"/>
        <color rgb="FF20201F"/>
        <rFont val="Tahoma"/>
        <family val="2"/>
      </rPr>
      <t xml:space="preserve">STARTING FROM 12.5sqm (1 EXECUTIVE DESK
</t>
    </r>
    <r>
      <rPr>
        <sz val="6"/>
        <color rgb="FF20201F"/>
        <rFont val="Tahoma"/>
        <family val="2"/>
      </rPr>
      <t xml:space="preserve">OR 2 WORKSTATIONS)
</t>
    </r>
    <r>
      <rPr>
        <sz val="5.5"/>
        <color rgb="FFE9E9E8"/>
        <rFont val="Tahoma"/>
        <family val="2"/>
      </rPr>
      <t xml:space="preserve">UNLIMITED ACCESS TO A PRIVATE OFFICE
</t>
    </r>
    <r>
      <rPr>
        <u/>
        <sz val="7"/>
        <color rgb="FF181817"/>
        <rFont val="Tahoma"/>
        <family val="2"/>
      </rPr>
      <t> AED 2,100 / SQM / YEAR </t>
    </r>
  </si>
  <si>
    <r>
      <rPr>
        <sz val="8.5"/>
        <color rgb="FFFFFFFF"/>
        <rFont val="Tahoma"/>
        <family val="2"/>
      </rPr>
      <t xml:space="preserve">INTRODUCTORY OFFER (20% DISCOUNT)
</t>
    </r>
    <r>
      <rPr>
        <sz val="6.5"/>
        <color rgb="FFFFFFFF"/>
        <rFont val="Tahoma"/>
        <family val="2"/>
      </rPr>
      <t>Rates are subject to change without prior notice</t>
    </r>
  </si>
  <si>
    <r>
      <rPr>
        <sz val="5.5"/>
        <color rgb="FFFFFFFF"/>
        <rFont val="Tahoma"/>
        <family val="2"/>
      </rPr>
      <t xml:space="preserve">STARTING FROM
</t>
    </r>
    <r>
      <rPr>
        <sz val="8"/>
        <color rgb="FFFFFFFF"/>
        <rFont val="Tahoma"/>
        <family val="2"/>
      </rPr>
      <t>AED 6,900</t>
    </r>
  </si>
  <si>
    <r>
      <rPr>
        <sz val="5.5"/>
        <color rgb="FFFFFFFF"/>
        <rFont val="Tahoma"/>
        <family val="2"/>
      </rPr>
      <t xml:space="preserve">STARTING FROM
</t>
    </r>
    <r>
      <rPr>
        <sz val="8"/>
        <color rgb="FFFFFFFF"/>
        <rFont val="Tahoma"/>
        <family val="2"/>
      </rPr>
      <t>AED 9,900</t>
    </r>
  </si>
  <si>
    <r>
      <rPr>
        <sz val="5.5"/>
        <color rgb="FFFFFFFF"/>
        <rFont val="Tahoma"/>
        <family val="2"/>
      </rPr>
      <t xml:space="preserve">STARTING FROM
</t>
    </r>
    <r>
      <rPr>
        <sz val="8"/>
        <color rgb="FFFFFFFF"/>
        <rFont val="Tahoma"/>
        <family val="2"/>
      </rPr>
      <t>AED 1,050 / SQM / YEAR</t>
    </r>
  </si>
  <si>
    <r>
      <rPr>
        <sz val="5.5"/>
        <color rgb="FFFFFFFF"/>
        <rFont val="Tahoma"/>
        <family val="2"/>
      </rPr>
      <t xml:space="preserve">STARTING FROM
</t>
    </r>
    <r>
      <rPr>
        <sz val="8"/>
        <color rgb="FFFFFFFF"/>
        <rFont val="Tahoma"/>
        <family val="2"/>
      </rPr>
      <t>AED 1,750 / SQM / YEAR</t>
    </r>
  </si>
  <si>
    <r>
      <rPr>
        <sz val="5.5"/>
        <color rgb="FFFFFFFF"/>
        <rFont val="Tahoma"/>
        <family val="2"/>
      </rPr>
      <t xml:space="preserve">STARTING FROM
</t>
    </r>
    <r>
      <rPr>
        <sz val="8"/>
        <color rgb="FFFFFFFF"/>
        <rFont val="Tahoma"/>
        <family val="2"/>
      </rPr>
      <t>AED 1,700 / SQM / YEAR</t>
    </r>
  </si>
  <si>
    <r>
      <rPr>
        <sz val="10"/>
        <color rgb="FFFFFFFF"/>
        <rFont val="Tahoma"/>
        <family val="2"/>
      </rPr>
      <t xml:space="preserve">PACKAGE INCLUSIONS
</t>
    </r>
    <r>
      <rPr>
        <sz val="7"/>
        <color rgb="FFFFFFFF"/>
        <rFont val="Tahoma"/>
        <family val="2"/>
      </rPr>
      <t>WIFI Internet Connection</t>
    </r>
  </si>
  <si>
    <r>
      <rPr>
        <sz val="5"/>
        <color rgb="FF343839"/>
        <rFont val="Tahoma"/>
        <family val="2"/>
      </rPr>
      <t>INCLUDED</t>
    </r>
  </si>
  <si>
    <r>
      <rPr>
        <sz val="5"/>
        <color rgb="FFFFFFFF"/>
        <rFont val="Tahoma"/>
        <family val="2"/>
      </rPr>
      <t>INCLUDED</t>
    </r>
  </si>
  <si>
    <r>
      <rPr>
        <sz val="7"/>
        <color rgb="FFFFFFFF"/>
        <rFont val="Tahoma"/>
        <family val="2"/>
      </rPr>
      <t>Access/Usage</t>
    </r>
  </si>
  <si>
    <r>
      <rPr>
        <sz val="5"/>
        <color rgb="FF343839"/>
        <rFont val="Tahoma"/>
        <family val="2"/>
      </rPr>
      <t xml:space="preserve">10 HRS / WEEK
</t>
    </r>
    <r>
      <rPr>
        <sz val="5"/>
        <color rgb="FF343839"/>
        <rFont val="Tahoma"/>
        <family val="2"/>
      </rPr>
      <t>(MON-FRI, 8:30AM - 5:30PM)</t>
    </r>
  </si>
  <si>
    <r>
      <rPr>
        <sz val="5"/>
        <color rgb="FF343839"/>
        <rFont val="Tahoma"/>
        <family val="2"/>
      </rPr>
      <t xml:space="preserve">UNLIMITED ACCESS
</t>
    </r>
    <r>
      <rPr>
        <sz val="5"/>
        <color rgb="FF343839"/>
        <rFont val="Tahoma"/>
        <family val="2"/>
      </rPr>
      <t>(MON-FRI, 8:30AM - 5:30PM)</t>
    </r>
  </si>
  <si>
    <r>
      <rPr>
        <sz val="5"/>
        <color rgb="FF343839"/>
        <rFont val="Tahoma"/>
        <family val="2"/>
      </rPr>
      <t>90 DAYS ACCESS TO A DEDICATED OFFICE</t>
    </r>
  </si>
  <si>
    <r>
      <rPr>
        <sz val="5"/>
        <color rgb="FF343839"/>
        <rFont val="Tahoma"/>
        <family val="2"/>
      </rPr>
      <t>24/7 ACCESS</t>
    </r>
  </si>
  <si>
    <r>
      <rPr>
        <sz val="5"/>
        <color rgb="FFFFFFFF"/>
        <rFont val="Tahoma"/>
        <family val="2"/>
      </rPr>
      <t>24/7 ACCESS</t>
    </r>
  </si>
  <si>
    <r>
      <rPr>
        <sz val="7"/>
        <color rgb="FFFFFFFF"/>
        <rFont val="Tahoma"/>
        <family val="2"/>
      </rPr>
      <t>Address</t>
    </r>
  </si>
  <si>
    <r>
      <rPr>
        <sz val="5"/>
        <color rgb="FF343839"/>
        <rFont val="Tahoma"/>
        <family val="2"/>
      </rPr>
      <t>IFZA ADDRESS PROVIDED</t>
    </r>
  </si>
  <si>
    <r>
      <rPr>
        <sz val="5"/>
        <color rgb="FF343839"/>
        <rFont val="Tahoma"/>
        <family val="2"/>
      </rPr>
      <t>INDIVIDUAL ADDRESS PROVIDED</t>
    </r>
  </si>
  <si>
    <r>
      <rPr>
        <sz val="5"/>
        <color rgb="FFFFFFFF"/>
        <rFont val="Tahoma"/>
        <family val="2"/>
      </rPr>
      <t>INDIVIDUAL ADDRESS PROVIDED</t>
    </r>
  </si>
  <si>
    <r>
      <rPr>
        <sz val="7"/>
        <color rgb="FFFFFFFF"/>
        <rFont val="Tahoma"/>
        <family val="2"/>
      </rPr>
      <t>Small Meeting Room Usage*</t>
    </r>
  </si>
  <si>
    <r>
      <rPr>
        <sz val="5"/>
        <color rgb="FF343839"/>
        <rFont val="Tahoma"/>
        <family val="2"/>
      </rPr>
      <t>1 HR / MONTH</t>
    </r>
  </si>
  <si>
    <r>
      <rPr>
        <sz val="5"/>
        <color rgb="FF343839"/>
        <rFont val="Tahoma"/>
        <family val="2"/>
      </rPr>
      <t>5 HRS / MONTH</t>
    </r>
  </si>
  <si>
    <r>
      <rPr>
        <sz val="5"/>
        <color rgb="FF343839"/>
        <rFont val="Tahoma"/>
        <family val="2"/>
      </rPr>
      <t>PAY PER USE</t>
    </r>
  </si>
  <si>
    <r>
      <rPr>
        <sz val="5"/>
        <color rgb="FF343839"/>
        <rFont val="Tahoma"/>
        <family val="2"/>
      </rPr>
      <t>7 HRS / MONTH</t>
    </r>
  </si>
  <si>
    <r>
      <rPr>
        <sz val="5"/>
        <color rgb="FFFFFFFF"/>
        <rFont val="Tahoma"/>
        <family val="2"/>
      </rPr>
      <t>7 HRS / MONTH</t>
    </r>
  </si>
  <si>
    <r>
      <rPr>
        <sz val="7"/>
        <color rgb="FFFFFFFF"/>
        <rFont val="Tahoma"/>
        <family val="2"/>
      </rPr>
      <t>Furnished</t>
    </r>
  </si>
  <si>
    <r>
      <rPr>
        <sz val="5"/>
        <color rgb="FFFFFFFF"/>
        <rFont val="Tahoma"/>
        <family val="2"/>
      </rPr>
      <t>OPTIONS ARE AVAILABLE</t>
    </r>
  </si>
  <si>
    <r>
      <rPr>
        <sz val="7"/>
        <color rgb="FFFFFFFF"/>
        <rFont val="Tahoma"/>
        <family val="2"/>
      </rPr>
      <t>Parking Spaces Provided</t>
    </r>
  </si>
  <si>
    <r>
      <rPr>
        <sz val="5"/>
        <color rgb="FF343839"/>
        <rFont val="Tahoma"/>
        <family val="2"/>
      </rPr>
      <t>OPTIONS ARE AVAILABLE</t>
    </r>
  </si>
  <si>
    <r>
      <rPr>
        <sz val="7"/>
        <color rgb="FFFFFFFF"/>
        <rFont val="Tahoma"/>
        <family val="2"/>
      </rPr>
      <t>Conference Room Usage*</t>
    </r>
  </si>
  <si>
    <r>
      <rPr>
        <sz val="5"/>
        <color rgb="FF343839"/>
        <rFont val="Tahoma"/>
        <family val="2"/>
      </rPr>
      <t>2 HRS / MONTH</t>
    </r>
  </si>
  <si>
    <r>
      <rPr>
        <sz val="5"/>
        <color rgb="FFFFFFFF"/>
        <rFont val="Tahoma"/>
        <family val="2"/>
      </rPr>
      <t>5 HRS / MONTH</t>
    </r>
  </si>
  <si>
    <r>
      <rPr>
        <sz val="7"/>
        <color rgb="FFFFFFFF"/>
        <rFont val="Tahoma"/>
        <family val="2"/>
      </rPr>
      <t>P.O. Box</t>
    </r>
  </si>
  <si>
    <r>
      <rPr>
        <sz val="5"/>
        <color rgb="FF343839"/>
        <rFont val="Tahoma"/>
        <family val="2"/>
      </rPr>
      <t xml:space="preserve">IFZA P.O. BOX
</t>
    </r>
    <r>
      <rPr>
        <sz val="5"/>
        <color rgb="FF343839"/>
        <rFont val="Tahoma"/>
        <family val="2"/>
      </rPr>
      <t>AT AED 1200 / YEAR</t>
    </r>
  </si>
  <si>
    <r>
      <rPr>
        <sz val="5"/>
        <color rgb="FFFFFFFF"/>
        <rFont val="Tahoma"/>
        <family val="2"/>
      </rPr>
      <t xml:space="preserve">IFZA P.O. BOX
</t>
    </r>
    <r>
      <rPr>
        <sz val="5"/>
        <color rgb="FFFFFFFF"/>
        <rFont val="Tahoma"/>
        <family val="2"/>
      </rPr>
      <t>AT AED 1200 / YEAR</t>
    </r>
  </si>
  <si>
    <r>
      <rPr>
        <sz val="7"/>
        <color rgb="FFFFFFFF"/>
        <rFont val="Tahoma"/>
        <family val="2"/>
      </rPr>
      <t>Utility Fee + Insurance</t>
    </r>
  </si>
  <si>
    <r>
      <rPr>
        <sz val="5"/>
        <color rgb="FF343839"/>
        <rFont val="Tahoma"/>
        <family val="2"/>
      </rPr>
      <t>8% OF OFFICE RENTAL FEE</t>
    </r>
  </si>
  <si>
    <r>
      <rPr>
        <sz val="5"/>
        <color rgb="FF343839"/>
        <rFont val="Tahoma"/>
        <family val="2"/>
      </rPr>
      <t xml:space="preserve">8% OF OFFICE RENTAL FEE
</t>
    </r>
    <r>
      <rPr>
        <sz val="5"/>
        <color rgb="FF343839"/>
        <rFont val="Tahoma"/>
        <family val="2"/>
      </rPr>
      <t>+ INSURANCE</t>
    </r>
  </si>
  <si>
    <r>
      <rPr>
        <sz val="5"/>
        <color rgb="FFFFFFFF"/>
        <rFont val="Tahoma"/>
        <family val="2"/>
      </rPr>
      <t xml:space="preserve">8% OF OFFICE RENTAL FEE
</t>
    </r>
    <r>
      <rPr>
        <sz val="5"/>
        <color rgb="FFFFFFFF"/>
        <rFont val="Tahoma"/>
        <family val="2"/>
      </rPr>
      <t>+ INSURANCE</t>
    </r>
  </si>
  <si>
    <r>
      <rPr>
        <sz val="7"/>
        <color rgb="FFFFFFFF"/>
        <rFont val="Tahoma"/>
        <family val="2"/>
      </rPr>
      <t>Deposit</t>
    </r>
  </si>
  <si>
    <r>
      <rPr>
        <sz val="5"/>
        <color rgb="FF343839"/>
        <rFont val="Tahoma"/>
        <family val="2"/>
      </rPr>
      <t>NO DEPOSIT REQUIRED</t>
    </r>
  </si>
  <si>
    <r>
      <rPr>
        <sz val="5"/>
        <color rgb="FF343839"/>
        <rFont val="Tahoma"/>
        <family val="2"/>
      </rPr>
      <t>1 MONTH DEPOSIT</t>
    </r>
  </si>
  <si>
    <r>
      <rPr>
        <sz val="5"/>
        <color rgb="FFFFFFFF"/>
        <rFont val="Tahoma"/>
        <family val="2"/>
      </rPr>
      <t>1 MONTH DEPOSIT</t>
    </r>
  </si>
  <si>
    <r>
      <rPr>
        <sz val="8"/>
        <color rgb="FFFFFFFF"/>
        <rFont val="Tahoma"/>
        <family val="2"/>
      </rPr>
      <t>COST</t>
    </r>
  </si>
  <si>
    <r>
      <rPr>
        <sz val="5.5"/>
        <color rgb="FF20201F"/>
        <rFont val="Tahoma"/>
        <family val="2"/>
      </rPr>
      <t>LANDLINE</t>
    </r>
  </si>
  <si>
    <r>
      <rPr>
        <sz val="6"/>
        <rFont val="Tahoma"/>
        <family val="2"/>
      </rPr>
      <t>600 AED Per 6 Months or 1,200 AED Per 1 Year</t>
    </r>
  </si>
  <si>
    <r>
      <rPr>
        <sz val="5.5"/>
        <color rgb="FF20201F"/>
        <rFont val="Tahoma"/>
        <family val="2"/>
      </rPr>
      <t>ADDITIONAL WORKSTATION (DESK, CHAIR, PEDESTAL)</t>
    </r>
  </si>
  <si>
    <r>
      <rPr>
        <sz val="5.5"/>
        <color rgb="FF20201F"/>
        <rFont val="Tahoma"/>
        <family val="2"/>
      </rPr>
      <t>MEETING ROOM - FITS UP TO 6 PEOPLE</t>
    </r>
  </si>
  <si>
    <r>
      <rPr>
        <sz val="6"/>
        <rFont val="Tahoma"/>
        <family val="2"/>
      </rPr>
      <t>100 AED Per Hour During Office Hours or 125 AED Per Hour Outside of Office Hours</t>
    </r>
  </si>
  <si>
    <r>
      <rPr>
        <sz val="5.5"/>
        <color rgb="FF20201F"/>
        <rFont val="Tahoma"/>
        <family val="2"/>
      </rPr>
      <t>CONFERENCE ROOM - FITS UP TO 18 PEOPLE</t>
    </r>
  </si>
  <si>
    <r>
      <rPr>
        <sz val="6"/>
        <rFont val="Tahoma"/>
        <family val="2"/>
      </rPr>
      <t>200 AED Per Hour During Office Hours or 250 AED Per Hour Outside of Office Hours</t>
    </r>
  </si>
  <si>
    <r>
      <rPr>
        <sz val="5.5"/>
        <color rgb="FF20201F"/>
        <rFont val="Tahoma"/>
        <family val="2"/>
      </rPr>
      <t>PREPAID PRINTING BUNDLE</t>
    </r>
  </si>
  <si>
    <r>
      <rPr>
        <sz val="6"/>
        <rFont val="Tahoma"/>
        <family val="2"/>
      </rPr>
      <t>Printing and Scanning Facilities Available on Demand</t>
    </r>
  </si>
  <si>
    <r>
      <rPr>
        <sz val="8"/>
        <color rgb="FFFFFFFF"/>
        <rFont val="Tahoma"/>
        <family val="2"/>
      </rPr>
      <t>A</t>
    </r>
    <r>
      <rPr>
        <b/>
        <sz val="8"/>
        <color rgb="FFFFFFFF"/>
        <rFont val="Tahoma"/>
        <family val="2"/>
      </rPr>
      <t xml:space="preserve">DDITIONAL </t>
    </r>
    <r>
      <rPr>
        <sz val="8"/>
        <color rgb="FFFFFFFF"/>
        <rFont val="Tahoma"/>
        <family val="2"/>
      </rPr>
      <t>SERVICES</t>
    </r>
  </si>
  <si>
    <t>SHAMS Standard License Package</t>
  </si>
  <si>
    <t>Description</t>
  </si>
  <si>
    <t>Quantity</t>
  </si>
  <si>
    <t xml:space="preserve">Amount </t>
  </si>
  <si>
    <t>License &amp; Shared Desk Fee</t>
  </si>
  <si>
    <t>Economic Fees</t>
  </si>
  <si>
    <t>Total License Fee</t>
  </si>
  <si>
    <t> </t>
  </si>
  <si>
    <t xml:space="preserve">Immigration Card </t>
  </si>
  <si>
    <t>E-channel Registration</t>
  </si>
  <si>
    <t>Investor Visa Fees (2,200)</t>
  </si>
  <si>
    <t>Employment Visa Fee (3,360)</t>
  </si>
  <si>
    <t>Medial</t>
  </si>
  <si>
    <t>EID</t>
  </si>
  <si>
    <t>Change of Status AED 700</t>
  </si>
  <si>
    <t>License and Visa Fees</t>
  </si>
  <si>
    <t>*Change of Status (optional)</t>
  </si>
  <si>
    <t>Medical Insurance Additional</t>
  </si>
  <si>
    <t>Standard Package (mix of any 5 activities)</t>
  </si>
  <si>
    <t>Visa Allocation</t>
  </si>
  <si>
    <t>Visas</t>
  </si>
  <si>
    <t>Price</t>
  </si>
  <si>
    <t>Media Package (any 5 media activities)</t>
  </si>
  <si>
    <t>Includes: (Business license, Share Register, Lease agreement, Memorandum, Incorporation Certificate)</t>
  </si>
  <si>
    <t>2 years discount of 2%, 3 years discount of 3%, 5 years discount of 5% and 10 years discount of 10% applicable on</t>
  </si>
  <si>
    <t>License price, same has been applied on license cost above.</t>
  </si>
  <si>
    <t>Cost is locked for the life of the company and renewal price stays the same if no changes made</t>
  </si>
  <si>
    <t>Additional Visa Allocation AED 1,600.</t>
  </si>
  <si>
    <t>RAKEZ</t>
  </si>
  <si>
    <t>IFZA</t>
  </si>
  <si>
    <t>Link to Request the documents from IFZA</t>
  </si>
  <si>
    <t>Direct Immigration Service Letters Request</t>
  </si>
  <si>
    <t>Sharjah Authority SPC Freezone</t>
  </si>
  <si>
    <t>Business License</t>
  </si>
  <si>
    <t>License Price</t>
  </si>
  <si>
    <t>Publishing License</t>
  </si>
  <si>
    <t>Visa Allocation/ Years</t>
  </si>
  <si>
    <t>Visa Allocation/Years</t>
  </si>
  <si>
    <t xml:space="preserve">Business license </t>
  </si>
  <si>
    <t>Memorandum of Association (MOA)</t>
  </si>
  <si>
    <t>Lease Agreement</t>
  </si>
  <si>
    <t>Share Certificate</t>
  </si>
  <si>
    <t>Publishing License Packages Includes</t>
  </si>
  <si>
    <t>Certificate of Formation</t>
  </si>
  <si>
    <r>
      <t xml:space="preserve">Up to </t>
    </r>
    <r>
      <rPr>
        <b/>
        <sz val="11"/>
        <color theme="1"/>
        <rFont val="Calibri"/>
        <family val="2"/>
        <scheme val="minor"/>
      </rPr>
      <t>7 shareholders</t>
    </r>
  </si>
  <si>
    <r>
      <t xml:space="preserve">Choose up to </t>
    </r>
    <r>
      <rPr>
        <b/>
        <sz val="11"/>
        <color theme="1"/>
        <rFont val="Calibri"/>
        <family val="2"/>
        <scheme val="minor"/>
      </rPr>
      <t>5 Business activities from the specified activity list</t>
    </r>
  </si>
  <si>
    <t>No restriction on Visa Allocations</t>
  </si>
  <si>
    <t>Business License Packages Includes</t>
  </si>
  <si>
    <t>USD</t>
  </si>
  <si>
    <r>
      <t>Ite</t>
    </r>
    <r>
      <rPr>
        <b/>
        <sz val="11"/>
        <color rgb="FF000000"/>
        <rFont val="Calibri"/>
        <family val="2"/>
      </rPr>
      <t>m</t>
    </r>
  </si>
  <si>
    <t>License fees</t>
  </si>
  <si>
    <t>Shared desk facility</t>
  </si>
  <si>
    <t>Visa allocation fees/person</t>
  </si>
  <si>
    <t>Immigration Card - Renewal: 2,200</t>
  </si>
  <si>
    <t>Visa processing fees (investor/partner)</t>
  </si>
  <si>
    <t>Visa processing fees (employee)</t>
  </si>
  <si>
    <t>Status Change/person - If needed</t>
  </si>
  <si>
    <t>Medical &amp; E-id Assitance</t>
  </si>
  <si>
    <t>Knowledge &amp; innovation fees - Added to each invoice</t>
  </si>
  <si>
    <t xml:space="preserve"> </t>
  </si>
  <si>
    <t>Cheapest Price in Freezone License</t>
  </si>
  <si>
    <t>0 Visa</t>
  </si>
  <si>
    <t>1 Visa</t>
  </si>
  <si>
    <t>2 Visa</t>
  </si>
  <si>
    <t>SHAMS</t>
  </si>
  <si>
    <t>Maydan</t>
  </si>
  <si>
    <r>
      <rPr>
        <sz val="20"/>
        <color rgb="FFFFFFFF"/>
        <rFont val="Algerian"/>
        <family val="5"/>
      </rPr>
      <t>PAY AS YOU GO</t>
    </r>
  </si>
  <si>
    <r>
      <rPr>
        <b/>
        <sz val="16"/>
        <color rgb="FFFFFFFF"/>
        <rFont val="Century Gothic"/>
        <family val="2"/>
      </rPr>
      <t>0 Visa</t>
    </r>
  </si>
  <si>
    <r>
      <rPr>
        <b/>
        <sz val="16"/>
        <color rgb="FFFFFFFF"/>
        <rFont val="Century Gothic"/>
        <family val="2"/>
      </rPr>
      <t>1 Visa</t>
    </r>
  </si>
  <si>
    <r>
      <rPr>
        <b/>
        <sz val="16"/>
        <color rgb="FFFFFFFF"/>
        <rFont val="Century Gothic"/>
        <family val="2"/>
      </rPr>
      <t>2 Visas</t>
    </r>
  </si>
  <si>
    <r>
      <rPr>
        <b/>
        <sz val="16"/>
        <color rgb="FFFFFFFF"/>
        <rFont val="Century Gothic"/>
        <family val="2"/>
      </rPr>
      <t>3 Visas</t>
    </r>
  </si>
  <si>
    <r>
      <rPr>
        <b/>
        <sz val="16"/>
        <color rgb="FFFFFFFF"/>
        <rFont val="Century Gothic"/>
        <family val="2"/>
      </rPr>
      <t>4 Visas</t>
    </r>
  </si>
  <si>
    <r>
      <rPr>
        <b/>
        <sz val="16"/>
        <color rgb="FFFFFFFF"/>
        <rFont val="Century Gothic"/>
        <family val="2"/>
      </rPr>
      <t>5 Visas</t>
    </r>
  </si>
  <si>
    <r>
      <rPr>
        <b/>
        <sz val="16"/>
        <color rgb="FFFFFFFF"/>
        <rFont val="Century Gothic"/>
        <family val="2"/>
      </rPr>
      <t>6 Visas</t>
    </r>
  </si>
  <si>
    <r>
      <rPr>
        <b/>
        <sz val="16"/>
        <color rgb="FFFFFFFF"/>
        <rFont val="Century Gothic"/>
        <family val="2"/>
      </rPr>
      <t>7 Visas</t>
    </r>
  </si>
  <si>
    <r>
      <rPr>
        <b/>
        <sz val="14"/>
        <rFont val="Century Gothic"/>
        <family val="2"/>
      </rPr>
      <t>License Fee</t>
    </r>
  </si>
  <si>
    <r>
      <rPr>
        <b/>
        <sz val="14"/>
        <color rgb="FF006FC0"/>
        <rFont val="Century Gothic"/>
        <family val="2"/>
      </rPr>
      <t>Visa / Immigration Fees</t>
    </r>
  </si>
  <si>
    <r>
      <rPr>
        <b/>
        <sz val="11"/>
        <rFont val="Calibri"/>
        <family val="2"/>
      </rPr>
      <t>Pre Security Approval</t>
    </r>
  </si>
  <si>
    <r>
      <rPr>
        <b/>
        <sz val="11"/>
        <rFont val="Calibri"/>
        <family val="2"/>
      </rPr>
      <t>Establishment Card</t>
    </r>
  </si>
  <si>
    <r>
      <rPr>
        <b/>
        <sz val="11"/>
        <rFont val="Calibri"/>
        <family val="2"/>
      </rPr>
      <t>E-Channel</t>
    </r>
  </si>
  <si>
    <r>
      <rPr>
        <b/>
        <sz val="11"/>
        <rFont val="Calibri"/>
        <family val="2"/>
      </rPr>
      <t>Visa Allocation Fee</t>
    </r>
  </si>
  <si>
    <r>
      <rPr>
        <b/>
        <sz val="11"/>
        <rFont val="Calibri"/>
        <family val="2"/>
      </rPr>
      <t>Entry Permit</t>
    </r>
  </si>
  <si>
    <r>
      <rPr>
        <b/>
        <sz val="11"/>
        <rFont val="Calibri"/>
        <family val="2"/>
      </rPr>
      <t>Visa Status Change</t>
    </r>
  </si>
  <si>
    <r>
      <rPr>
        <b/>
        <sz val="11"/>
        <rFont val="Calibri"/>
        <family val="2"/>
      </rPr>
      <t>Medical</t>
    </r>
  </si>
  <si>
    <r>
      <rPr>
        <b/>
        <sz val="11"/>
        <rFont val="Calibri"/>
        <family val="2"/>
      </rPr>
      <t>EID / Residence</t>
    </r>
  </si>
  <si>
    <r>
      <rPr>
        <b/>
        <sz val="10"/>
        <rFont val="Century Gothic"/>
        <family val="2"/>
      </rPr>
      <t>Total Visa Fees</t>
    </r>
  </si>
  <si>
    <r>
      <rPr>
        <b/>
        <sz val="16"/>
        <rFont val="Century Gothic"/>
        <family val="2"/>
      </rPr>
      <t>Grand TOTAL</t>
    </r>
  </si>
  <si>
    <r>
      <rPr>
        <b/>
        <sz val="14"/>
        <rFont val="Century Gothic"/>
        <family val="2"/>
      </rPr>
      <t>Yearly Renewal</t>
    </r>
  </si>
  <si>
    <t>Ajman NuVentures Centre Free Zone (ANCFZ)</t>
  </si>
  <si>
    <t>ANC</t>
  </si>
  <si>
    <t>1-YEAR IFZA DUBAI BUSINESS LICENSE TYPES</t>
  </si>
  <si>
    <t>Commercial (Trading) License &amp; Professional (Service &amp; Consultancy) License</t>
  </si>
  <si>
    <t>IFZA DUBAI 1-YEAR LICENSE PACKAGES</t>
  </si>
  <si>
    <t>IFZA Dubai Standard Prices for 1-YEAR LICENSE</t>
  </si>
  <si>
    <t>Zero Visa License</t>
  </si>
  <si>
    <t>1 Visa License</t>
  </si>
  <si>
    <t>2 Visa License</t>
  </si>
  <si>
    <t>3 Visa License</t>
  </si>
  <si>
    <t>4 Visa License And above</t>
  </si>
  <si>
    <t>12,900 AED</t>
  </si>
  <si>
    <r>
      <t xml:space="preserve">14,900 AED </t>
    </r>
    <r>
      <rPr>
        <sz val="11"/>
        <color rgb="FFFF0000"/>
        <rFont val="Calibri"/>
        <family val="2"/>
        <scheme val="minor"/>
      </rPr>
      <t>+ 1 Residence Visa FREE For Life</t>
    </r>
  </si>
  <si>
    <r>
      <t xml:space="preserve">16,900AED </t>
    </r>
    <r>
      <rPr>
        <sz val="11"/>
        <color rgb="FFFF0000"/>
        <rFont val="Calibri"/>
        <family val="2"/>
        <scheme val="minor"/>
      </rPr>
      <t>+ 1 Residence Visa FREE For Life</t>
    </r>
  </si>
  <si>
    <r>
      <t xml:space="preserve">18,900 AED </t>
    </r>
    <r>
      <rPr>
        <sz val="11"/>
        <color rgb="FFFF0000"/>
        <rFont val="Calibri"/>
        <family val="2"/>
        <scheme val="minor"/>
      </rPr>
      <t>+ 1 Residence Visa FREE For Life</t>
    </r>
  </si>
  <si>
    <r>
      <t>20,900 AED</t>
    </r>
    <r>
      <rPr>
        <sz val="11"/>
        <color rgb="FFFF0000"/>
        <rFont val="Calibri"/>
        <family val="2"/>
        <scheme val="minor"/>
      </rPr>
      <t>+ 1 Residence Visa FREE For Life</t>
    </r>
  </si>
  <si>
    <t>PRICE LIST &amp; COMMISSION PLANS FOR AUTHORIZED PARTNERS FOR 2025</t>
  </si>
  <si>
    <t>IFZA DUBAI Standard Prices for 1-YEAR LICENSE (Inclusive of VAT)</t>
  </si>
  <si>
    <t>IFZAreservesthe right to amend pricing andotherdetails of thisdocument without Prior Notice</t>
  </si>
  <si>
    <t>IFZA DUBAI Standard  (Inclusive of VAT)</t>
  </si>
  <si>
    <t>Prices For 2-YEAR LICENSE (15 % Discount Only)</t>
  </si>
  <si>
    <t>25,800 AED</t>
  </si>
  <si>
    <t>29,800AED</t>
  </si>
  <si>
    <t>33,800AED</t>
  </si>
  <si>
    <t>37,800AED</t>
  </si>
  <si>
    <t>41,800AED</t>
  </si>
  <si>
    <t>21,900AED</t>
  </si>
  <si>
    <r>
      <t xml:space="preserve">25,300 AED </t>
    </r>
    <r>
      <rPr>
        <sz val="11"/>
        <color rgb="FFFF0000"/>
        <rFont val="Calibri"/>
        <family val="2"/>
        <scheme val="minor"/>
      </rPr>
      <t>+ 1 Residence Visa FREE For Life</t>
    </r>
  </si>
  <si>
    <r>
      <t xml:space="preserve">28,700AED </t>
    </r>
    <r>
      <rPr>
        <sz val="11"/>
        <color rgb="FFFF0000"/>
        <rFont val="Calibri"/>
        <family val="2"/>
        <scheme val="minor"/>
      </rPr>
      <t>+ 1 Residence Visa FREE For Life</t>
    </r>
  </si>
  <si>
    <r>
      <t xml:space="preserve">32,100AED </t>
    </r>
    <r>
      <rPr>
        <sz val="11"/>
        <color rgb="FFFF0000"/>
        <rFont val="Calibri"/>
        <family val="2"/>
        <scheme val="minor"/>
      </rPr>
      <t>+ 1 Residence Visa FREE For Life</t>
    </r>
  </si>
  <si>
    <r>
      <t>35,500 AED</t>
    </r>
    <r>
      <rPr>
        <sz val="11"/>
        <color rgb="FFFF0000"/>
        <rFont val="Calibri"/>
        <family val="2"/>
        <scheme val="minor"/>
      </rPr>
      <t>+ 1 Residence Visa FREE For Life</t>
    </r>
  </si>
  <si>
    <t>2-YEAR IFZA DUBAI BUSINESS LICENSE TYPES</t>
  </si>
  <si>
    <t>New Company Packages</t>
  </si>
  <si>
    <t xml:space="preserve">0 Visa </t>
  </si>
  <si>
    <t xml:space="preserve">1 Visa </t>
  </si>
  <si>
    <t xml:space="preserve">2 Visa </t>
  </si>
  <si>
    <t xml:space="preserve">3 Visa </t>
  </si>
  <si>
    <t xml:space="preserve">4 Visa </t>
  </si>
  <si>
    <t>5 Visas</t>
  </si>
  <si>
    <t>6 Visas</t>
  </si>
  <si>
    <t>7 Visas</t>
  </si>
  <si>
    <t>New Registration Package 10% Upfront Payment Discount</t>
  </si>
  <si>
    <t>Package Type- All inclusive- installment Available</t>
  </si>
  <si>
    <t>Renewal Packages</t>
  </si>
  <si>
    <t>2 Visas</t>
  </si>
  <si>
    <t>3 Visas</t>
  </si>
  <si>
    <t>4 Visas</t>
  </si>
  <si>
    <t>5Visas</t>
  </si>
  <si>
    <t xml:space="preserve">Renewal Package Fee, 10% Upfront Payment Discount </t>
  </si>
  <si>
    <t>Renewal- All Inclusive – Installment Available</t>
  </si>
  <si>
    <t>Inclusions – Company Registration</t>
  </si>
  <si>
    <t>Business License ▪ Unlimited Shareholders ▪ Up to 10 Mix &amp; Match Activities</t>
  </si>
  <si>
    <t>✓Lease Agreement</t>
  </si>
  <si>
    <t>✓MOA/AOA (if applicable)</t>
  </si>
  <si>
    <t>✓Commercial Registry</t>
  </si>
  <si>
    <t>✓Share Certificate</t>
  </si>
  <si>
    <t>✓Certificate of Incorporation</t>
  </si>
  <si>
    <t>✓Certificate of Incumbency</t>
  </si>
  <si>
    <t>✓Bank Letter (to open A/C)</t>
  </si>
  <si>
    <t>✓Branch Registration Certificate (if applicable)</t>
  </si>
  <si>
    <t>Inclusions – ICP Services (Visa Packages)</t>
  </si>
  <si>
    <t>✓ Investor(s) Security Approval – New Registration</t>
  </si>
  <si>
    <t>✓ E-Channel Registration (New/Renewal)</t>
  </si>
  <si>
    <t>✓ E-Channel Guarantee (New)</t>
  </si>
  <si>
    <t>✓ Establishment Card (New/Renewal)</t>
  </si>
  <si>
    <t xml:space="preserve">✓ ICP- License Activation (Renewal) </t>
  </si>
  <si>
    <t>✓ Entry Permit</t>
  </si>
  <si>
    <t>✓ Visa Status Change (If Applicable)</t>
  </si>
  <si>
    <t>✓ Visa Medical – Normal in Ajman (New/Renewal)</t>
  </si>
  <si>
    <t>✓ Residency Visa (New/Renewal)</t>
  </si>
  <si>
    <t>✓ Emirates ID (New/Renewal)</t>
  </si>
  <si>
    <t>*Health Insurance is excluded &amp; to be done by customer during visa process</t>
  </si>
  <si>
    <t>Freezone</t>
  </si>
  <si>
    <t>Installment Option</t>
  </si>
  <si>
    <t>Conditions</t>
  </si>
  <si>
    <t>Payment Method</t>
  </si>
  <si>
    <t>Required Documents</t>
  </si>
  <si>
    <t>ANC Freezone</t>
  </si>
  <si>
    <t>Case-by-case basis (not available for all cases)</t>
  </si>
  <si>
    <t>Subject to KYC approval</t>
  </si>
  <si>
    <t>Based on compliance approval</t>
  </si>
  <si>
    <t>- 6-month bank statement - Tenancy contract / proof of address - Emirates ID &amp; valid visa - Salary certificate / proof of income - Company license (if applicable) - Company bank statement</t>
  </si>
  <si>
    <t>Ajman Freezone</t>
  </si>
  <si>
    <t>Available</t>
  </si>
  <si>
    <t>No KYC required</t>
  </si>
  <si>
    <t>- 0% via credit card - 50% upfront + 50% post-dated cheque (3 months)</t>
  </si>
  <si>
    <t>Rakez Freezone</t>
  </si>
  <si>
    <r>
      <t xml:space="preserve">The client is able to provide </t>
    </r>
    <r>
      <rPr>
        <b/>
        <sz val="11"/>
        <color rgb="FFFF0000"/>
        <rFont val="Calibri"/>
        <family val="2"/>
        <scheme val="minor"/>
      </rPr>
      <t>post-dated cheques from a UAE bank</t>
    </r>
    <r>
      <rPr>
        <sz val="11"/>
        <color theme="1"/>
        <rFont val="Calibri"/>
        <family val="2"/>
        <scheme val="minor"/>
      </rPr>
      <t>. The installment plan can be discussed based on the total package cost.</t>
    </r>
  </si>
  <si>
    <t>post-dated cheques from a UAE bank</t>
  </si>
  <si>
    <t>Documents required for KYC:
• Valid Passport Copy
• Emirates ID &amp; Visa Copy
• 6 Months UAE Bank Statement
• Proof of Address (e.g., tenancy contract)
• Salary Certificate or Proof of Source of Funds</t>
  </si>
  <si>
    <t>Meydan Freezone</t>
  </si>
  <si>
    <t>Credit card installment option is applicable only for residents of the UAE.</t>
  </si>
  <si>
    <t>Shams FZ</t>
  </si>
  <si>
    <t>Client can pay through Tabby or Credit Card and convert into installments</t>
  </si>
  <si>
    <t>SHAMS - New 0% Installment Offer for Visa Cardholders!
We’re excited to announce a *new exclusive offer* for Visa credit cardholders! If your client holds a Visa credit card from any of the banks listed below, you may now be eligible for *0% installment plans*.
- Abu Dhabi Islamic Bank  
- Abu Dhabi Commercial Bank  
- Dubai Islamic Bank  
- Commercial Bank of Dubai  
- National Bank of Fujairah  
- Sharjah Islamic Bank  
- Arab Bank  
- Emirates Islamic Bank  
- Emirates NBD
Kindly note this is apart from the existing 0% installment offers WITH Banks.</t>
  </si>
  <si>
    <t>🔥 SHAMS Summer Visa Package | LIMITED TIME OFFER! 🔥</t>
  </si>
  <si>
    <t>Get your business license &amp; 1 visa with any 5 Activities for only AED 12,555!</t>
  </si>
  <si>
    <t>✅ 1-Year License (Media or Standard)</t>
  </si>
  <si>
    <t>✅ 1-Year Lease &amp; Shared Desk</t>
  </si>
  <si>
    <t>✅ 1 Visa Allocation</t>
  </si>
  <si>
    <t>✅ Immigration Card &amp; E-Channel</t>
  </si>
  <si>
    <t>✅ Visa Fee (Investor/employee)</t>
  </si>
  <si>
    <t>✅ Emirates ID &amp; Change of Status</t>
  </si>
  <si>
    <t>✅ Economic Register Fee</t>
  </si>
  <si>
    <t>📌 Medical test &amp; insurance to be arranged by the client</t>
  </si>
  <si>
    <t>💼 License Fee is considered as 8,485</t>
  </si>
  <si>
    <t>📅 Offer valid: 1st – 31st Aug 2025</t>
  </si>
  <si>
    <t>CSP</t>
  </si>
  <si>
    <r>
      <t>Corporate Service Provider</t>
    </r>
    <r>
      <rPr>
        <sz val="11"/>
        <color theme="1"/>
        <rFont val="Calibri"/>
        <family val="2"/>
        <scheme val="minor"/>
      </rPr>
      <t xml:space="preserve"> activity.</t>
    </r>
  </si>
  <si>
    <r>
      <t xml:space="preserve">This activity </t>
    </r>
    <r>
      <rPr>
        <b/>
        <sz val="11"/>
        <color theme="1"/>
        <rFont val="Calibri"/>
        <family val="2"/>
        <scheme val="minor"/>
      </rPr>
      <t>cannot be registered under flexi-desk or shared desk packages</t>
    </r>
    <r>
      <rPr>
        <sz val="11"/>
        <color theme="1"/>
        <rFont val="Calibri"/>
        <family val="2"/>
        <scheme val="minor"/>
      </rPr>
      <t xml:space="preserve"> (like Biz Saver in RAKEZ).</t>
    </r>
  </si>
  <si>
    <r>
      <t xml:space="preserve">Instead, the company must lease a </t>
    </r>
    <r>
      <rPr>
        <b/>
        <sz val="11"/>
        <color theme="1"/>
        <rFont val="Calibri"/>
        <family val="2"/>
        <scheme val="minor"/>
      </rPr>
      <t>dedicated office space (executive office)</t>
    </r>
    <r>
      <rPr>
        <sz val="11"/>
        <color theme="1"/>
        <rFont val="Calibri"/>
        <family val="2"/>
        <scheme val="minor"/>
      </rPr>
      <t xml:space="preserve"> in the freezone.</t>
    </r>
  </si>
  <si>
    <r>
      <t xml:space="preserve">The reason is because CSP is a </t>
    </r>
    <r>
      <rPr>
        <b/>
        <sz val="11"/>
        <color theme="1"/>
        <rFont val="Calibri"/>
        <family val="2"/>
        <scheme val="minor"/>
      </rPr>
      <t>regulated activity</t>
    </r>
    <r>
      <rPr>
        <sz val="11"/>
        <color theme="1"/>
        <rFont val="Calibri"/>
        <family val="2"/>
        <scheme val="minor"/>
      </rPr>
      <t>, and authorities want companies with this license to have a proper office setup for compliance and client dealings.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</si>
</sst>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AED&quot;#,##0;[Red]\-&quot;AED&quot;#,##0"/>
    <numFmt numFmtId="44" formatCode="_-&quot;AED&quot;* #,##0.00_-;\-&quot;AED&quot;* #,##0.00_-;_-&quot;AED&quot;* &quot;-&quot;??_-;_-@_-"/>
    <numFmt numFmtId="43" formatCode="_-* #,##0.00_-;\-* #,##0.00_-;_-* &quot;-&quot;??_-;_-@_-"/>
    <numFmt numFmtId="164" formatCode="_(* #,##0_);_(* \(#,##0\);_(* &quot;-&quot;??_);_(@_)"/>
    <numFmt numFmtId="165" formatCode="_-&quot;AED&quot;* #,##0_-;\-&quot;AED&quot;* #,##0_-;_-&quot;AED&quot;* &quot;-&quot;??_-;_-@_-"/>
  </numFmts>
  <fonts count="6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
      <b/>
      <sz val="11"/>
      <color rgb="FFFF0000"/>
      <name val="Calibri"/>
      <family val="2"/>
      <scheme val="minor"/>
    </font>
    <font>
      <b/>
      <sz val="12"/>
      <color theme="1"/>
      <name val="Calibri"/>
      <family val="2"/>
      <scheme val="minor"/>
    </font>
    <font>
      <sz val="12"/>
      <color theme="0" tint="-0.499984740745262"/>
      <name val="Calibri"/>
      <family val="2"/>
      <scheme val="minor"/>
    </font>
    <font>
      <b/>
      <sz val="18"/>
      <color theme="1"/>
      <name val="Calibri"/>
      <family val="2"/>
      <scheme val="minor"/>
    </font>
    <font>
      <b/>
      <sz val="18"/>
      <color theme="0"/>
      <name val="Calibri"/>
      <family val="2"/>
      <scheme val="minor"/>
    </font>
    <font>
      <b/>
      <sz val="11"/>
      <color theme="1"/>
      <name val="Calibri"/>
      <family val="2"/>
    </font>
    <font>
      <sz val="10"/>
      <color theme="1"/>
      <name val="Calibri"/>
      <family val="2"/>
    </font>
    <font>
      <sz val="11"/>
      <color theme="1"/>
      <name val="Calibri"/>
      <family val="2"/>
    </font>
    <font>
      <b/>
      <u/>
      <sz val="9"/>
      <color theme="1"/>
      <name val="Calibri"/>
      <family val="2"/>
    </font>
    <font>
      <sz val="8"/>
      <color theme="1"/>
      <name val="Calibri"/>
      <family val="2"/>
    </font>
    <font>
      <sz val="12"/>
      <color theme="0"/>
      <name val="Calibri"/>
      <family val="2"/>
      <scheme val="minor"/>
    </font>
    <font>
      <b/>
      <i/>
      <sz val="14"/>
      <color theme="1"/>
      <name val="Calibri"/>
      <family val="2"/>
      <scheme val="minor"/>
    </font>
    <font>
      <b/>
      <sz val="16"/>
      <color theme="1"/>
      <name val="Calibri"/>
      <family val="2"/>
      <scheme val="minor"/>
    </font>
    <font>
      <b/>
      <sz val="16"/>
      <color theme="0"/>
      <name val="Calibri"/>
      <family val="2"/>
      <scheme val="minor"/>
    </font>
    <font>
      <sz val="13"/>
      <color rgb="FFFFFFFF"/>
      <name val="Tahoma"/>
      <family val="2"/>
    </font>
    <font>
      <sz val="9"/>
      <color rgb="FFFFFFFF"/>
      <name val="Tahoma"/>
      <family val="2"/>
    </font>
    <font>
      <sz val="6.5"/>
      <color rgb="FFFFFFFF"/>
      <name val="Tahoma"/>
      <family val="2"/>
    </font>
    <font>
      <u/>
      <sz val="7"/>
      <color rgb="FF181717"/>
      <name val="Tahoma"/>
      <family val="2"/>
    </font>
    <font>
      <sz val="12.5"/>
      <name val="Calibri"/>
      <family val="2"/>
    </font>
    <font>
      <sz val="12.5"/>
      <color rgb="FFFFFFFF"/>
      <name val="Calibri"/>
      <family val="2"/>
    </font>
    <font>
      <sz val="12.5"/>
      <color rgb="FF20201F"/>
      <name val="Calibri"/>
      <family val="2"/>
    </font>
    <font>
      <sz val="10"/>
      <color rgb="FF20201F"/>
      <name val="Tahoma"/>
      <family val="2"/>
    </font>
    <font>
      <sz val="6"/>
      <color rgb="FF20201F"/>
      <name val="Tahoma"/>
      <family val="2"/>
    </font>
    <font>
      <sz val="5.5"/>
      <color rgb="FFFFFFFF"/>
      <name val="Tahoma"/>
      <family val="2"/>
    </font>
    <font>
      <u/>
      <sz val="7"/>
      <color rgb="FF181817"/>
      <name val="Tahoma"/>
      <family val="2"/>
    </font>
    <font>
      <sz val="5.5"/>
      <color rgb="FFE9E9E8"/>
      <name val="Tahoma"/>
      <family val="2"/>
    </font>
    <font>
      <sz val="8.5"/>
      <color rgb="FFFFFFFF"/>
      <name val="Tahoma"/>
      <family val="2"/>
    </font>
    <font>
      <sz val="8"/>
      <color rgb="FFFFFFFF"/>
      <name val="Tahoma"/>
      <family val="2"/>
    </font>
    <font>
      <sz val="10"/>
      <color rgb="FFFFFFFF"/>
      <name val="Tahoma"/>
      <family val="2"/>
    </font>
    <font>
      <sz val="7"/>
      <color rgb="FFFFFFFF"/>
      <name val="Tahoma"/>
      <family val="2"/>
    </font>
    <font>
      <sz val="5"/>
      <name val="Tahoma"/>
      <family val="2"/>
    </font>
    <font>
      <sz val="5"/>
      <color rgb="FF343839"/>
      <name val="Tahoma"/>
      <family val="2"/>
    </font>
    <font>
      <sz val="5"/>
      <color rgb="FFFFFFFF"/>
      <name val="Tahoma"/>
      <family val="2"/>
    </font>
    <font>
      <sz val="7"/>
      <name val="Tahoma"/>
      <family val="2"/>
    </font>
    <font>
      <sz val="8"/>
      <name val="Tahoma"/>
      <family val="2"/>
    </font>
    <font>
      <sz val="5.5"/>
      <name val="Tahoma"/>
      <family val="2"/>
    </font>
    <font>
      <sz val="5.5"/>
      <color rgb="FF20201F"/>
      <name val="Tahoma"/>
      <family val="2"/>
    </font>
    <font>
      <sz val="6"/>
      <name val="Tahoma"/>
      <family val="2"/>
    </font>
    <font>
      <b/>
      <sz val="8"/>
      <color rgb="FFFFFFFF"/>
      <name val="Tahoma"/>
      <family val="2"/>
    </font>
    <font>
      <b/>
      <sz val="10"/>
      <color rgb="FF000000"/>
      <name val="Arial"/>
      <family val="2"/>
    </font>
    <font>
      <sz val="10"/>
      <color rgb="FF000000"/>
      <name val="Arial"/>
      <family val="2"/>
    </font>
    <font>
      <b/>
      <sz val="12"/>
      <color rgb="FF000000"/>
      <name val="Arial"/>
      <family val="2"/>
    </font>
    <font>
      <b/>
      <sz val="22"/>
      <color theme="1"/>
      <name val="Calibri"/>
      <family val="2"/>
      <scheme val="minor"/>
    </font>
    <font>
      <b/>
      <sz val="20"/>
      <color theme="1"/>
      <name val="Calibri"/>
      <family val="2"/>
      <scheme val="minor"/>
    </font>
    <font>
      <u/>
      <sz val="11"/>
      <color theme="10"/>
      <name val="Calibri"/>
      <family val="2"/>
      <scheme val="minor"/>
    </font>
    <font>
      <u/>
      <sz val="11"/>
      <color theme="1"/>
      <name val="Calibri"/>
      <family val="2"/>
      <scheme val="minor"/>
    </font>
    <font>
      <b/>
      <sz val="11"/>
      <color rgb="FF000000"/>
      <name val="Calibri"/>
      <family val="2"/>
    </font>
    <font>
      <b/>
      <sz val="10"/>
      <color theme="1"/>
      <name val="Calibri"/>
      <family val="2"/>
    </font>
    <font>
      <sz val="10"/>
      <color rgb="FF000000"/>
      <name val="Times New Roman"/>
      <family val="1"/>
    </font>
    <font>
      <sz val="20"/>
      <name val="Algerian"/>
      <family val="5"/>
    </font>
    <font>
      <b/>
      <sz val="16"/>
      <name val="Century Gothic"/>
      <family val="2"/>
    </font>
    <font>
      <b/>
      <sz val="14"/>
      <name val="Century Gothic"/>
      <family val="2"/>
    </font>
    <font>
      <sz val="14"/>
      <color rgb="FF000000"/>
      <name val="Century Gothic"/>
      <family val="2"/>
    </font>
    <font>
      <b/>
      <sz val="11"/>
      <name val="Calibri"/>
      <family val="2"/>
    </font>
    <font>
      <sz val="11"/>
      <color rgb="FF000000"/>
      <name val="Calibri"/>
      <family val="2"/>
    </font>
    <font>
      <b/>
      <sz val="10"/>
      <name val="Century Gothic"/>
      <family val="2"/>
    </font>
    <font>
      <b/>
      <sz val="16"/>
      <color rgb="FF000000"/>
      <name val="Calibri"/>
      <family val="2"/>
    </font>
    <font>
      <b/>
      <sz val="14"/>
      <color rgb="FF000000"/>
      <name val="Calibri"/>
      <family val="2"/>
    </font>
    <font>
      <sz val="20"/>
      <color rgb="FFFFFFFF"/>
      <name val="Algerian"/>
      <family val="5"/>
    </font>
    <font>
      <b/>
      <sz val="16"/>
      <color rgb="FFFFFFFF"/>
      <name val="Century Gothic"/>
      <family val="2"/>
    </font>
    <font>
      <b/>
      <sz val="14"/>
      <color rgb="FF006FC0"/>
      <name val="Century Gothic"/>
      <family val="2"/>
    </font>
    <font>
      <sz val="11"/>
      <color rgb="FFFF0000"/>
      <name val="Calibri"/>
      <family val="2"/>
      <scheme val="minor"/>
    </font>
    <font>
      <sz val="11"/>
      <color theme="0"/>
      <name val="Calibri"/>
      <family val="2"/>
      <scheme val="minor"/>
    </font>
  </fonts>
  <fills count="32">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rgb="FFFF0000"/>
        <bgColor indexed="64"/>
      </patternFill>
    </fill>
    <fill>
      <patternFill patternType="solid">
        <fgColor theme="2" tint="-0.749992370372631"/>
        <bgColor indexed="64"/>
      </patternFill>
    </fill>
    <fill>
      <patternFill patternType="solid">
        <fgColor rgb="FF7FD2DB"/>
        <bgColor indexed="64"/>
      </patternFill>
    </fill>
    <fill>
      <patternFill patternType="solid">
        <fgColor theme="0"/>
        <bgColor indexed="64"/>
      </patternFill>
    </fill>
    <fill>
      <patternFill patternType="solid">
        <fgColor rgb="FF8EE872"/>
        <bgColor indexed="64"/>
      </patternFill>
    </fill>
    <fill>
      <patternFill patternType="solid">
        <fgColor theme="4" tint="-0.499984740745262"/>
        <bgColor indexed="64"/>
      </patternFill>
    </fill>
    <fill>
      <patternFill patternType="solid">
        <fgColor rgb="FF919190"/>
      </patternFill>
    </fill>
    <fill>
      <patternFill patternType="solid">
        <fgColor rgb="FF20201F"/>
      </patternFill>
    </fill>
    <fill>
      <patternFill patternType="solid">
        <fgColor rgb="FFFFFFFF"/>
      </patternFill>
    </fill>
    <fill>
      <patternFill patternType="solid">
        <fgColor rgb="FFE9E9E8"/>
      </patternFill>
    </fill>
    <fill>
      <patternFill patternType="solid">
        <fgColor rgb="FFCDA72C"/>
      </patternFill>
    </fill>
    <fill>
      <patternFill patternType="solid">
        <fgColor theme="8"/>
        <bgColor indexed="64"/>
      </patternFill>
    </fill>
    <fill>
      <patternFill patternType="solid">
        <fgColor theme="7"/>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rgb="FFAEE8D2"/>
        <bgColor indexed="64"/>
      </patternFill>
    </fill>
    <fill>
      <patternFill patternType="solid">
        <fgColor rgb="FFFFFF00"/>
        <bgColor indexed="64"/>
      </patternFill>
    </fill>
    <fill>
      <patternFill patternType="solid">
        <fgColor theme="7" tint="0.39997558519241921"/>
        <bgColor indexed="64"/>
      </patternFill>
    </fill>
    <fill>
      <patternFill patternType="solid">
        <fgColor rgb="FF2E50A0"/>
      </patternFill>
    </fill>
    <fill>
      <patternFill patternType="solid">
        <fgColor rgb="FFCFD1DA"/>
      </patternFill>
    </fill>
    <fill>
      <patternFill patternType="solid">
        <fgColor rgb="FFE8E9EC"/>
      </patternFill>
    </fill>
    <fill>
      <patternFill patternType="solid">
        <fgColor theme="4" tint="0.39997558519241921"/>
        <bgColor indexed="64"/>
      </patternFill>
    </fill>
    <fill>
      <patternFill patternType="solid">
        <fgColor theme="5" tint="-0.249977111117893"/>
        <bgColor indexed="64"/>
      </patternFill>
    </fill>
    <fill>
      <patternFill patternType="solid">
        <fgColor theme="9"/>
        <bgColor indexed="64"/>
      </patternFill>
    </fill>
    <fill>
      <patternFill patternType="solid">
        <fgColor theme="4"/>
        <bgColor indexed="64"/>
      </patternFill>
    </fill>
    <fill>
      <patternFill patternType="solid">
        <fgColor theme="7" tint="-0.249977111117893"/>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rgb="FF303738"/>
      </bottom>
      <diagonal/>
    </border>
    <border>
      <left/>
      <right/>
      <top/>
      <bottom style="thin">
        <color rgb="FF606465"/>
      </bottom>
      <diagonal/>
    </border>
    <border>
      <left/>
      <right/>
      <top style="thin">
        <color rgb="FF303738"/>
      </top>
      <bottom style="thin">
        <color rgb="FF303738"/>
      </bottom>
      <diagonal/>
    </border>
    <border>
      <left/>
      <right/>
      <top style="thin">
        <color rgb="FF606465"/>
      </top>
      <bottom style="thin">
        <color rgb="FF606465"/>
      </bottom>
      <diagonal/>
    </border>
    <border>
      <left/>
      <right/>
      <top style="thin">
        <color rgb="FF303738"/>
      </top>
      <bottom/>
      <diagonal/>
    </border>
    <border>
      <left/>
      <right/>
      <top style="thin">
        <color rgb="FF606465"/>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49" fillId="0" borderId="0" applyNumberFormat="0" applyFill="0" applyBorder="0" applyAlignment="0" applyProtection="0"/>
    <xf numFmtId="0" fontId="53" fillId="0" borderId="0"/>
  </cellStyleXfs>
  <cellXfs count="271">
    <xf numFmtId="0" fontId="0" fillId="0" borderId="0" xfId="0"/>
    <xf numFmtId="164" fontId="0" fillId="0" borderId="0" xfId="0" applyNumberFormat="1"/>
    <xf numFmtId="0" fontId="0" fillId="0" borderId="1" xfId="0" applyBorder="1"/>
    <xf numFmtId="0" fontId="0" fillId="0" borderId="1" xfId="0" applyBorder="1" applyAlignment="1">
      <alignment horizontal="center"/>
    </xf>
    <xf numFmtId="0" fontId="2" fillId="0" borderId="0" xfId="0" applyFont="1" applyAlignment="1">
      <alignment horizontal="center"/>
    </xf>
    <xf numFmtId="0" fontId="2" fillId="0" borderId="0" xfId="0" applyFont="1"/>
    <xf numFmtId="0" fontId="2" fillId="3" borderId="1" xfId="0" applyFont="1" applyFill="1" applyBorder="1" applyAlignment="1">
      <alignment horizontal="center"/>
    </xf>
    <xf numFmtId="3" fontId="2" fillId="0" borderId="1" xfId="0" applyNumberFormat="1" applyFont="1" applyBorder="1"/>
    <xf numFmtId="3" fontId="5" fillId="0" borderId="1" xfId="0" applyNumberFormat="1" applyFont="1" applyBorder="1"/>
    <xf numFmtId="0" fontId="2" fillId="0" borderId="1" xfId="0" applyFont="1" applyBorder="1" applyAlignment="1">
      <alignment horizontal="center" vertical="center" textRotation="90"/>
    </xf>
    <xf numFmtId="0" fontId="6" fillId="0" borderId="1" xfId="0" applyFont="1" applyBorder="1" applyAlignment="1">
      <alignment horizontal="center"/>
    </xf>
    <xf numFmtId="0" fontId="4" fillId="0" borderId="0" xfId="0" applyFont="1"/>
    <xf numFmtId="0" fontId="4" fillId="0" borderId="1" xfId="0" applyFont="1" applyBorder="1"/>
    <xf numFmtId="0" fontId="7" fillId="0" borderId="0" xfId="0" applyFont="1"/>
    <xf numFmtId="164" fontId="4" fillId="0" borderId="1" xfId="1" applyNumberFormat="1" applyFont="1" applyFill="1" applyBorder="1"/>
    <xf numFmtId="164" fontId="4" fillId="0" borderId="1" xfId="1" applyNumberFormat="1" applyFont="1" applyBorder="1"/>
    <xf numFmtId="164" fontId="4" fillId="0" borderId="1" xfId="1" applyNumberFormat="1" applyFont="1" applyFill="1" applyBorder="1" applyAlignment="1"/>
    <xf numFmtId="164" fontId="4" fillId="0" borderId="0" xfId="1" applyNumberFormat="1" applyFont="1" applyBorder="1"/>
    <xf numFmtId="164" fontId="4" fillId="0" borderId="0" xfId="1" applyNumberFormat="1" applyFont="1" applyFill="1" applyBorder="1" applyAlignment="1"/>
    <xf numFmtId="0" fontId="4" fillId="0" borderId="0" xfId="0" applyFont="1" applyAlignment="1">
      <alignment horizontal="center" vertical="center"/>
    </xf>
    <xf numFmtId="164" fontId="4" fillId="2" borderId="1" xfId="1" applyNumberFormat="1" applyFont="1" applyFill="1" applyBorder="1"/>
    <xf numFmtId="164" fontId="4" fillId="0" borderId="0" xfId="0" applyNumberFormat="1" applyFont="1"/>
    <xf numFmtId="0" fontId="7" fillId="0" borderId="1" xfId="0" applyFont="1" applyBorder="1"/>
    <xf numFmtId="3" fontId="4" fillId="0" borderId="1" xfId="0" applyNumberFormat="1" applyFont="1" applyBorder="1"/>
    <xf numFmtId="0" fontId="4" fillId="2" borderId="1" xfId="0" applyFont="1" applyFill="1" applyBorder="1"/>
    <xf numFmtId="0" fontId="0" fillId="0" borderId="1" xfId="0" applyBorder="1" applyAlignment="1">
      <alignment horizontal="center" vertical="top" wrapText="1"/>
    </xf>
    <xf numFmtId="0" fontId="0" fillId="0" borderId="1" xfId="0" applyBorder="1" applyAlignment="1">
      <alignment horizontal="left" vertical="top" wrapText="1"/>
    </xf>
    <xf numFmtId="0" fontId="10" fillId="7" borderId="1" xfId="0" applyFont="1" applyFill="1" applyBorder="1" applyAlignment="1" applyProtection="1">
      <alignment horizontal="center" vertical="center" wrapText="1"/>
      <protection hidden="1"/>
    </xf>
    <xf numFmtId="165" fontId="10" fillId="7" borderId="1" xfId="2" applyNumberFormat="1" applyFont="1" applyFill="1" applyBorder="1" applyAlignment="1" applyProtection="1">
      <alignment horizontal="center" vertical="center" wrapText="1"/>
      <protection hidden="1"/>
    </xf>
    <xf numFmtId="0" fontId="11" fillId="8" borderId="1" xfId="0" applyFont="1" applyFill="1" applyBorder="1" applyAlignment="1" applyProtection="1">
      <alignment horizontal="center" vertical="center" wrapText="1"/>
      <protection hidden="1"/>
    </xf>
    <xf numFmtId="1" fontId="12" fillId="9" borderId="1" xfId="0" applyNumberFormat="1" applyFont="1" applyFill="1" applyBorder="1" applyAlignment="1" applyProtection="1">
      <alignment horizontal="center" vertical="center" wrapText="1"/>
      <protection locked="0" hidden="1"/>
    </xf>
    <xf numFmtId="165" fontId="0" fillId="8" borderId="1" xfId="2" applyNumberFormat="1" applyFont="1" applyFill="1" applyBorder="1" applyAlignment="1" applyProtection="1">
      <alignment horizontal="center" vertical="center"/>
      <protection hidden="1"/>
    </xf>
    <xf numFmtId="1" fontId="0" fillId="8" borderId="1" xfId="0" applyNumberFormat="1" applyFill="1" applyBorder="1" applyAlignment="1" applyProtection="1">
      <alignment horizontal="center" vertical="center"/>
      <protection hidden="1"/>
    </xf>
    <xf numFmtId="1" fontId="12" fillId="9" borderId="1" xfId="0" applyNumberFormat="1" applyFont="1" applyFill="1" applyBorder="1" applyAlignment="1" applyProtection="1">
      <alignment horizontal="center" vertical="center" wrapText="1"/>
      <protection hidden="1"/>
    </xf>
    <xf numFmtId="0" fontId="0" fillId="8" borderId="1" xfId="0" applyFill="1" applyBorder="1" applyAlignment="1" applyProtection="1">
      <alignment horizontal="center" vertical="center"/>
      <protection hidden="1"/>
    </xf>
    <xf numFmtId="0" fontId="13" fillId="8" borderId="0" xfId="0" applyFont="1" applyFill="1" applyAlignment="1" applyProtection="1">
      <alignment horizontal="left" vertical="center" wrapText="1"/>
      <protection hidden="1"/>
    </xf>
    <xf numFmtId="49" fontId="14" fillId="8" borderId="0" xfId="0" applyNumberFormat="1" applyFont="1" applyFill="1" applyAlignment="1" applyProtection="1">
      <alignment horizontal="left" vertical="center" wrapText="1"/>
      <protection hidden="1"/>
    </xf>
    <xf numFmtId="0" fontId="15" fillId="10" borderId="1" xfId="0" applyFont="1" applyFill="1" applyBorder="1"/>
    <xf numFmtId="0" fontId="0" fillId="0" borderId="1" xfId="0" applyBorder="1" applyAlignment="1">
      <alignment vertical="center"/>
    </xf>
    <xf numFmtId="0" fontId="0" fillId="0" borderId="0" xfId="0" applyAlignment="1">
      <alignment horizontal="center" vertical="center"/>
    </xf>
    <xf numFmtId="0" fontId="16" fillId="0" borderId="1" xfId="0" applyFont="1" applyBorder="1"/>
    <xf numFmtId="0" fontId="0" fillId="0" borderId="1" xfId="0" applyBorder="1" applyAlignment="1">
      <alignment wrapText="1"/>
    </xf>
    <xf numFmtId="0" fontId="2" fillId="0" borderId="0" xfId="0" applyFont="1" applyAlignment="1">
      <alignment wrapText="1"/>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1" xfId="0" applyBorder="1" applyAlignment="1">
      <alignment horizontal="left" vertical="center"/>
    </xf>
    <xf numFmtId="0" fontId="18" fillId="10" borderId="0" xfId="0" applyFont="1" applyFill="1" applyAlignment="1">
      <alignment horizontal="center" vertical="center"/>
    </xf>
    <xf numFmtId="0" fontId="0" fillId="12" borderId="0" xfId="0" applyFill="1" applyAlignment="1">
      <alignment horizontal="left" vertical="top" wrapText="1"/>
    </xf>
    <xf numFmtId="0" fontId="0" fillId="12" borderId="0" xfId="0" applyFill="1" applyAlignment="1">
      <alignment horizontal="left" vertical="top" wrapText="1" indent="4"/>
    </xf>
    <xf numFmtId="0" fontId="0" fillId="12" borderId="0" xfId="0" applyFill="1" applyAlignment="1">
      <alignment horizontal="center" vertical="top" wrapText="1"/>
    </xf>
    <xf numFmtId="0" fontId="0" fillId="11" borderId="19" xfId="0" applyFill="1" applyBorder="1" applyAlignment="1">
      <alignment horizontal="left" vertical="top" wrapText="1"/>
    </xf>
    <xf numFmtId="0" fontId="35" fillId="13" borderId="20" xfId="0" applyFont="1" applyFill="1" applyBorder="1" applyAlignment="1">
      <alignment horizontal="left" vertical="center" wrapText="1" indent="3"/>
    </xf>
    <xf numFmtId="0" fontId="35" fillId="14" borderId="20" xfId="0" applyFont="1" applyFill="1" applyBorder="1" applyAlignment="1">
      <alignment horizontal="left" vertical="center" wrapText="1" indent="3"/>
    </xf>
    <xf numFmtId="0" fontId="35" fillId="14" borderId="20" xfId="0" applyFont="1" applyFill="1" applyBorder="1" applyAlignment="1">
      <alignment horizontal="left" vertical="center" wrapText="1" indent="4"/>
    </xf>
    <xf numFmtId="0" fontId="35" fillId="15" borderId="20" xfId="0" applyFont="1" applyFill="1" applyBorder="1" applyAlignment="1">
      <alignment horizontal="left" vertical="center" wrapText="1" indent="4"/>
    </xf>
    <xf numFmtId="0" fontId="38" fillId="11" borderId="21" xfId="0" applyFont="1" applyFill="1" applyBorder="1" applyAlignment="1">
      <alignment horizontal="left" vertical="top" wrapText="1"/>
    </xf>
    <xf numFmtId="0" fontId="0" fillId="13" borderId="22" xfId="0" applyFill="1" applyBorder="1" applyAlignment="1">
      <alignment horizontal="left" vertical="top" wrapText="1" indent="3"/>
    </xf>
    <xf numFmtId="0" fontId="0" fillId="14" borderId="22" xfId="0" applyFill="1" applyBorder="1" applyAlignment="1">
      <alignment horizontal="left" vertical="top" wrapText="1" indent="3"/>
    </xf>
    <xf numFmtId="0" fontId="35" fillId="13" borderId="22" xfId="0" applyFont="1" applyFill="1" applyBorder="1" applyAlignment="1">
      <alignment horizontal="left" vertical="top" wrapText="1" indent="3"/>
    </xf>
    <xf numFmtId="0" fontId="35" fillId="14" borderId="22" xfId="0" applyFont="1" applyFill="1" applyBorder="1" applyAlignment="1">
      <alignment horizontal="left" vertical="center" wrapText="1" indent="4"/>
    </xf>
    <xf numFmtId="0" fontId="35" fillId="15" borderId="22" xfId="0" applyFont="1" applyFill="1" applyBorder="1" applyAlignment="1">
      <alignment horizontal="left" vertical="center" wrapText="1" indent="4"/>
    </xf>
    <xf numFmtId="0" fontId="35" fillId="13" borderId="22" xfId="0" applyFont="1" applyFill="1" applyBorder="1" applyAlignment="1">
      <alignment horizontal="left" vertical="center" wrapText="1" indent="3"/>
    </xf>
    <xf numFmtId="0" fontId="35" fillId="14" borderId="22" xfId="0" applyFont="1" applyFill="1" applyBorder="1" applyAlignment="1">
      <alignment horizontal="left" vertical="top" wrapText="1" indent="3"/>
    </xf>
    <xf numFmtId="0" fontId="35" fillId="14" borderId="22" xfId="0" applyFont="1" applyFill="1" applyBorder="1" applyAlignment="1">
      <alignment horizontal="left" vertical="top" wrapText="1" indent="4"/>
    </xf>
    <xf numFmtId="0" fontId="35" fillId="15" borderId="22" xfId="0" applyFont="1" applyFill="1" applyBorder="1" applyAlignment="1">
      <alignment horizontal="left" vertical="top" wrapText="1" indent="4"/>
    </xf>
    <xf numFmtId="0" fontId="35" fillId="14" borderId="22" xfId="0" applyFont="1" applyFill="1" applyBorder="1" applyAlignment="1">
      <alignment horizontal="left" vertical="center" wrapText="1" indent="3"/>
    </xf>
    <xf numFmtId="0" fontId="0" fillId="14" borderId="22" xfId="0" applyFill="1" applyBorder="1" applyAlignment="1">
      <alignment horizontal="left" vertical="top" wrapText="1" indent="4"/>
    </xf>
    <xf numFmtId="0" fontId="0" fillId="15" borderId="22" xfId="0" applyFill="1" applyBorder="1" applyAlignment="1">
      <alignment horizontal="left" vertical="top" wrapText="1" indent="4"/>
    </xf>
    <xf numFmtId="0" fontId="38" fillId="11" borderId="23" xfId="0" applyFont="1" applyFill="1" applyBorder="1" applyAlignment="1">
      <alignment horizontal="left" vertical="top" wrapText="1"/>
    </xf>
    <xf numFmtId="0" fontId="35" fillId="13" borderId="24" xfId="0" applyFont="1" applyFill="1" applyBorder="1" applyAlignment="1">
      <alignment horizontal="left" vertical="center" wrapText="1" indent="3"/>
    </xf>
    <xf numFmtId="0" fontId="35" fillId="14" borderId="24" xfId="0" applyFont="1" applyFill="1" applyBorder="1" applyAlignment="1">
      <alignment horizontal="left" vertical="center" wrapText="1" indent="3"/>
    </xf>
    <xf numFmtId="0" fontId="35" fillId="14" borderId="24" xfId="0" applyFont="1" applyFill="1" applyBorder="1" applyAlignment="1">
      <alignment horizontal="left" vertical="center" wrapText="1" indent="4"/>
    </xf>
    <xf numFmtId="0" fontId="35" fillId="15" borderId="24" xfId="0" applyFont="1" applyFill="1" applyBorder="1" applyAlignment="1">
      <alignment horizontal="left" vertical="center" wrapText="1" indent="4"/>
    </xf>
    <xf numFmtId="0" fontId="44" fillId="0" borderId="25" xfId="0" applyFont="1" applyBorder="1"/>
    <xf numFmtId="0" fontId="44" fillId="0" borderId="26" xfId="0" applyFont="1" applyBorder="1"/>
    <xf numFmtId="0" fontId="44" fillId="0" borderId="27" xfId="0" applyFont="1" applyBorder="1"/>
    <xf numFmtId="0" fontId="44" fillId="0" borderId="28" xfId="0" applyFont="1" applyBorder="1"/>
    <xf numFmtId="0" fontId="44" fillId="0" borderId="29" xfId="0" applyFont="1" applyBorder="1"/>
    <xf numFmtId="0" fontId="44" fillId="0" borderId="30" xfId="0" applyFont="1" applyBorder="1"/>
    <xf numFmtId="0" fontId="45" fillId="0" borderId="31" xfId="0" applyFont="1" applyBorder="1"/>
    <xf numFmtId="0" fontId="45" fillId="0" borderId="0" xfId="0" applyFont="1"/>
    <xf numFmtId="0" fontId="45" fillId="0" borderId="32" xfId="0" applyFont="1" applyBorder="1"/>
    <xf numFmtId="0" fontId="45" fillId="0" borderId="30" xfId="0" applyFont="1" applyBorder="1"/>
    <xf numFmtId="0" fontId="45" fillId="0" borderId="25" xfId="0" applyFont="1" applyBorder="1"/>
    <xf numFmtId="0" fontId="45" fillId="0" borderId="26" xfId="0" applyFont="1" applyBorder="1"/>
    <xf numFmtId="3" fontId="0" fillId="0" borderId="1" xfId="0" applyNumberFormat="1" applyBorder="1"/>
    <xf numFmtId="0" fontId="47" fillId="16" borderId="0" xfId="0" applyFont="1" applyFill="1" applyAlignment="1">
      <alignment horizontal="left" vertical="center"/>
    </xf>
    <xf numFmtId="0" fontId="49" fillId="0" borderId="0" xfId="3"/>
    <xf numFmtId="0" fontId="0" fillId="0" borderId="0" xfId="0" applyAlignment="1">
      <alignment horizontal="center" vertical="top"/>
    </xf>
    <xf numFmtId="0" fontId="6" fillId="18" borderId="1" xfId="0" applyFont="1" applyFill="1" applyBorder="1" applyAlignment="1">
      <alignment horizontal="center" vertical="top"/>
    </xf>
    <xf numFmtId="3" fontId="2" fillId="0" borderId="1" xfId="0" applyNumberFormat="1" applyFont="1" applyBorder="1" applyAlignment="1">
      <alignment horizontal="center" vertical="top"/>
    </xf>
    <xf numFmtId="0" fontId="2" fillId="0" borderId="1" xfId="0" applyFont="1" applyBorder="1" applyAlignment="1">
      <alignment horizontal="center" vertical="top"/>
    </xf>
    <xf numFmtId="0" fontId="2" fillId="19" borderId="1" xfId="0" applyFont="1" applyFill="1" applyBorder="1" applyAlignment="1">
      <alignment horizontal="center" vertical="top"/>
    </xf>
    <xf numFmtId="0" fontId="50" fillId="0" borderId="0" xfId="0" applyFont="1"/>
    <xf numFmtId="0" fontId="3" fillId="19" borderId="1" xfId="0" applyFont="1" applyFill="1" applyBorder="1" applyAlignment="1">
      <alignment horizontal="center" vertical="top"/>
    </xf>
    <xf numFmtId="0" fontId="6" fillId="19" borderId="1" xfId="0" applyFont="1" applyFill="1" applyBorder="1" applyAlignment="1">
      <alignment horizontal="center" vertical="top"/>
    </xf>
    <xf numFmtId="43" fontId="0" fillId="0" borderId="0" xfId="1" applyFont="1"/>
    <xf numFmtId="0" fontId="0" fillId="8" borderId="0" xfId="0" applyFill="1" applyProtection="1">
      <protection hidden="1"/>
    </xf>
    <xf numFmtId="0" fontId="0" fillId="8" borderId="0" xfId="0" applyFill="1" applyAlignment="1" applyProtection="1">
      <alignment wrapText="1"/>
      <protection hidden="1"/>
    </xf>
    <xf numFmtId="165" fontId="0" fillId="8" borderId="0" xfId="2" applyNumberFormat="1" applyFont="1" applyFill="1" applyProtection="1">
      <protection hidden="1"/>
    </xf>
    <xf numFmtId="1" fontId="0" fillId="8" borderId="0" xfId="0" applyNumberFormat="1" applyFill="1" applyProtection="1">
      <protection hidden="1"/>
    </xf>
    <xf numFmtId="0" fontId="10" fillId="21" borderId="1" xfId="0" applyFont="1" applyFill="1" applyBorder="1" applyAlignment="1" applyProtection="1">
      <alignment horizontal="center" vertical="center" wrapText="1"/>
      <protection hidden="1"/>
    </xf>
    <xf numFmtId="0" fontId="51" fillId="21" borderId="1" xfId="0" applyFont="1" applyFill="1" applyBorder="1" applyAlignment="1" applyProtection="1">
      <alignment horizontal="center" vertical="center" wrapText="1"/>
      <protection hidden="1"/>
    </xf>
    <xf numFmtId="0" fontId="52" fillId="8" borderId="1" xfId="0" applyFont="1" applyFill="1" applyBorder="1" applyAlignment="1" applyProtection="1">
      <alignment horizontal="center" vertical="center" wrapText="1"/>
      <protection hidden="1"/>
    </xf>
    <xf numFmtId="3" fontId="12" fillId="8" borderId="1" xfId="0" applyNumberFormat="1" applyFont="1" applyFill="1" applyBorder="1" applyAlignment="1" applyProtection="1">
      <alignment horizontal="center" vertical="center" wrapText="1"/>
      <protection hidden="1"/>
    </xf>
    <xf numFmtId="49" fontId="11" fillId="8" borderId="0" xfId="0" applyNumberFormat="1" applyFont="1" applyFill="1" applyAlignment="1" applyProtection="1">
      <alignment horizontal="left" vertical="center" wrapText="1"/>
      <protection hidden="1"/>
    </xf>
    <xf numFmtId="0" fontId="12" fillId="8" borderId="1" xfId="0" applyFont="1" applyFill="1" applyBorder="1" applyAlignment="1" applyProtection="1">
      <alignment horizontal="center" vertical="center" wrapText="1"/>
      <protection hidden="1"/>
    </xf>
    <xf numFmtId="0" fontId="2" fillId="0" borderId="0" xfId="0" applyFont="1" applyAlignment="1">
      <alignment horizontal="center" vertical="center"/>
    </xf>
    <xf numFmtId="0" fontId="2" fillId="0" borderId="1" xfId="0" applyFont="1" applyBorder="1"/>
    <xf numFmtId="0" fontId="6" fillId="23" borderId="1" xfId="0" applyFont="1" applyFill="1" applyBorder="1" applyAlignment="1">
      <alignment horizontal="center" vertical="center"/>
    </xf>
    <xf numFmtId="3" fontId="2" fillId="0" borderId="1" xfId="0" applyNumberFormat="1" applyFont="1" applyBorder="1" applyAlignment="1">
      <alignment horizontal="center" vertical="center"/>
    </xf>
    <xf numFmtId="0" fontId="54" fillId="24" borderId="33" xfId="4" applyFont="1" applyFill="1" applyBorder="1" applyAlignment="1">
      <alignment horizontal="center" vertical="top" wrapText="1"/>
    </xf>
    <xf numFmtId="0" fontId="55" fillId="24" borderId="33" xfId="4" applyFont="1" applyFill="1" applyBorder="1" applyAlignment="1">
      <alignment horizontal="left" vertical="top" wrapText="1" indent="2"/>
    </xf>
    <xf numFmtId="0" fontId="56" fillId="25" borderId="33" xfId="4" applyFont="1" applyFill="1" applyBorder="1" applyAlignment="1">
      <alignment horizontal="center" vertical="top" wrapText="1"/>
    </xf>
    <xf numFmtId="3" fontId="57" fillId="25" borderId="33" xfId="4" applyNumberFormat="1" applyFont="1" applyFill="1" applyBorder="1" applyAlignment="1">
      <alignment horizontal="left" vertical="top" indent="2" shrinkToFit="1"/>
    </xf>
    <xf numFmtId="3" fontId="57" fillId="25" borderId="33" xfId="4" applyNumberFormat="1" applyFont="1" applyFill="1" applyBorder="1" applyAlignment="1">
      <alignment horizontal="left" vertical="top" indent="3" shrinkToFit="1"/>
    </xf>
    <xf numFmtId="0" fontId="58" fillId="25" borderId="33" xfId="4" applyFont="1" applyFill="1" applyBorder="1" applyAlignment="1">
      <alignment horizontal="center" vertical="top" wrapText="1"/>
    </xf>
    <xf numFmtId="1" fontId="59" fillId="25" borderId="33" xfId="4" applyNumberFormat="1" applyFont="1" applyFill="1" applyBorder="1" applyAlignment="1">
      <alignment horizontal="center" vertical="top" shrinkToFit="1"/>
    </xf>
    <xf numFmtId="0" fontId="58" fillId="26" borderId="33" xfId="4" applyFont="1" applyFill="1" applyBorder="1" applyAlignment="1">
      <alignment horizontal="center" vertical="top" wrapText="1"/>
    </xf>
    <xf numFmtId="1" fontId="59" fillId="26" borderId="33" xfId="4" applyNumberFormat="1" applyFont="1" applyFill="1" applyBorder="1" applyAlignment="1">
      <alignment horizontal="center" vertical="top" shrinkToFit="1"/>
    </xf>
    <xf numFmtId="3" fontId="59" fillId="25" borderId="33" xfId="4" applyNumberFormat="1" applyFont="1" applyFill="1" applyBorder="1" applyAlignment="1">
      <alignment horizontal="left" vertical="top" indent="3" shrinkToFit="1"/>
    </xf>
    <xf numFmtId="3" fontId="59" fillId="25" borderId="33" xfId="4" applyNumberFormat="1" applyFont="1" applyFill="1" applyBorder="1" applyAlignment="1">
      <alignment horizontal="center" vertical="top" shrinkToFit="1"/>
    </xf>
    <xf numFmtId="3" fontId="59" fillId="26" borderId="33" xfId="4" applyNumberFormat="1" applyFont="1" applyFill="1" applyBorder="1" applyAlignment="1">
      <alignment horizontal="left" vertical="top" indent="3" shrinkToFit="1"/>
    </xf>
    <xf numFmtId="3" fontId="59" fillId="26" borderId="33" xfId="4" applyNumberFormat="1" applyFont="1" applyFill="1" applyBorder="1" applyAlignment="1">
      <alignment horizontal="center" vertical="top" shrinkToFit="1"/>
    </xf>
    <xf numFmtId="0" fontId="60" fillId="25" borderId="33" xfId="4" applyFont="1" applyFill="1" applyBorder="1" applyAlignment="1">
      <alignment horizontal="center" vertical="top" wrapText="1"/>
    </xf>
    <xf numFmtId="0" fontId="55" fillId="26" borderId="33" xfId="4" applyFont="1" applyFill="1" applyBorder="1" applyAlignment="1">
      <alignment horizontal="center" vertical="top" wrapText="1"/>
    </xf>
    <xf numFmtId="3" fontId="61" fillId="26" borderId="33" xfId="4" applyNumberFormat="1" applyFont="1" applyFill="1" applyBorder="1" applyAlignment="1">
      <alignment horizontal="left" vertical="top" indent="2" shrinkToFit="1"/>
    </xf>
    <xf numFmtId="3" fontId="62" fillId="25" borderId="33" xfId="4" applyNumberFormat="1" applyFont="1" applyFill="1" applyBorder="1" applyAlignment="1">
      <alignment horizontal="left" vertical="top" indent="2" shrinkToFit="1"/>
    </xf>
    <xf numFmtId="0" fontId="0" fillId="0" borderId="0" xfId="0" applyAlignment="1">
      <alignment horizontal="center"/>
    </xf>
    <xf numFmtId="0" fontId="55" fillId="24" borderId="33" xfId="4" applyFont="1" applyFill="1" applyBorder="1" applyAlignment="1">
      <alignment horizontal="center" vertical="top" wrapText="1"/>
    </xf>
    <xf numFmtId="3" fontId="57" fillId="25" borderId="33" xfId="4" applyNumberFormat="1" applyFont="1" applyFill="1" applyBorder="1" applyAlignment="1">
      <alignment horizontal="center" vertical="top" shrinkToFit="1"/>
    </xf>
    <xf numFmtId="3" fontId="61" fillId="26" borderId="33" xfId="4" applyNumberFormat="1" applyFont="1" applyFill="1" applyBorder="1" applyAlignment="1">
      <alignment horizontal="center" vertical="top" shrinkToFit="1"/>
    </xf>
    <xf numFmtId="3" fontId="62" fillId="25" borderId="33" xfId="4" applyNumberFormat="1" applyFont="1" applyFill="1" applyBorder="1" applyAlignment="1">
      <alignment horizontal="center" vertical="top" shrinkToFit="1"/>
    </xf>
    <xf numFmtId="0" fontId="53" fillId="25" borderId="33" xfId="4" applyFill="1" applyBorder="1" applyAlignment="1">
      <alignment horizontal="center" wrapText="1"/>
    </xf>
    <xf numFmtId="0" fontId="53" fillId="26" borderId="33" xfId="4" applyFill="1" applyBorder="1" applyAlignment="1">
      <alignment horizontal="center" vertical="center" wrapText="1"/>
    </xf>
    <xf numFmtId="0" fontId="53" fillId="26" borderId="33" xfId="4" applyFill="1" applyBorder="1" applyAlignment="1">
      <alignment horizontal="center" wrapText="1"/>
    </xf>
    <xf numFmtId="0" fontId="2" fillId="0" borderId="1" xfId="0" applyFont="1" applyBorder="1" applyAlignment="1">
      <alignment horizontal="center" vertical="center"/>
    </xf>
    <xf numFmtId="0" fontId="2" fillId="28"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7" borderId="1" xfId="0" applyFont="1" applyFill="1" applyBorder="1" applyAlignment="1">
      <alignment horizontal="center" vertical="center"/>
    </xf>
    <xf numFmtId="0" fontId="2" fillId="29" borderId="1" xfId="0" applyFont="1" applyFill="1" applyBorder="1" applyAlignment="1">
      <alignment horizontal="center" vertical="center"/>
    </xf>
    <xf numFmtId="0" fontId="2" fillId="30" borderId="1" xfId="0" applyFont="1" applyFill="1" applyBorder="1" applyAlignment="1">
      <alignment horizontal="center" vertical="center"/>
    </xf>
    <xf numFmtId="0" fontId="0" fillId="31" borderId="40" xfId="0" applyFill="1" applyBorder="1"/>
    <xf numFmtId="0" fontId="0" fillId="0" borderId="40" xfId="0" applyBorder="1"/>
    <xf numFmtId="0" fontId="0" fillId="0" borderId="41" xfId="0" applyBorder="1"/>
    <xf numFmtId="0" fontId="0" fillId="0" borderId="1" xfId="0" applyBorder="1" applyAlignment="1">
      <alignment vertical="top"/>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3" fontId="0" fillId="0" borderId="0" xfId="0" applyNumberFormat="1" applyAlignment="1">
      <alignment horizontal="center"/>
    </xf>
    <xf numFmtId="3" fontId="0" fillId="0" borderId="0" xfId="0" applyNumberFormat="1" applyAlignment="1">
      <alignment horizontal="center" vertical="top"/>
    </xf>
    <xf numFmtId="3" fontId="0" fillId="0" borderId="0" xfId="0" applyNumberFormat="1"/>
    <xf numFmtId="0" fontId="18" fillId="30" borderId="0" xfId="0" applyFont="1" applyFill="1" applyAlignment="1">
      <alignment horizontal="center" vertical="center"/>
    </xf>
    <xf numFmtId="0" fontId="0" fillId="0" borderId="0" xfId="0" applyAlignment="1">
      <alignment wrapText="1"/>
    </xf>
    <xf numFmtId="0" fontId="18" fillId="30" borderId="0" xfId="0" applyFont="1" applyFill="1"/>
    <xf numFmtId="0" fontId="18" fillId="8" borderId="0" xfId="0" applyFont="1" applyFill="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42" xfId="0" applyBorder="1" applyAlignment="1">
      <alignment wrapText="1"/>
    </xf>
    <xf numFmtId="0" fontId="0" fillId="0" borderId="43" xfId="0" applyBorder="1" applyAlignment="1">
      <alignment wrapText="1"/>
    </xf>
    <xf numFmtId="0" fontId="0" fillId="0" borderId="44" xfId="0" applyBorder="1" applyAlignment="1">
      <alignment wrapText="1"/>
    </xf>
    <xf numFmtId="0" fontId="3" fillId="22" borderId="1" xfId="0" applyFont="1" applyFill="1" applyBorder="1" applyAlignment="1">
      <alignment horizontal="center"/>
    </xf>
    <xf numFmtId="0" fontId="9" fillId="6" borderId="0" xfId="0" applyFont="1" applyFill="1" applyAlignment="1">
      <alignment horizontal="center"/>
    </xf>
    <xf numFmtId="0" fontId="0" fillId="0" borderId="1" xfId="0" applyBorder="1" applyAlignment="1">
      <alignment horizontal="center" vertical="top" wrapText="1"/>
    </xf>
    <xf numFmtId="0" fontId="0" fillId="0" borderId="17" xfId="0" applyBorder="1" applyAlignment="1">
      <alignment horizontal="left" vertical="top" wrapText="1"/>
    </xf>
    <xf numFmtId="0" fontId="0" fillId="0" borderId="11" xfId="0" applyBorder="1" applyAlignment="1">
      <alignment horizontal="left" vertical="top" wrapText="1"/>
    </xf>
    <xf numFmtId="0" fontId="0" fillId="0" borderId="13" xfId="0" applyBorder="1" applyAlignment="1">
      <alignment horizontal="left" vertical="top" wrapText="1"/>
    </xf>
    <xf numFmtId="0" fontId="0" fillId="0" borderId="18" xfId="0" applyBorder="1" applyAlignment="1">
      <alignment horizontal="left" vertical="top" wrapText="1"/>
    </xf>
    <xf numFmtId="0" fontId="0" fillId="0" borderId="0" xfId="0" applyAlignment="1">
      <alignment horizontal="left" vertical="top" wrapText="1"/>
    </xf>
    <xf numFmtId="0" fontId="0" fillId="0" borderId="14" xfId="0" applyBorder="1" applyAlignment="1">
      <alignment horizontal="left" vertical="top" wrapText="1"/>
    </xf>
    <xf numFmtId="0" fontId="0" fillId="0" borderId="16" xfId="0" applyBorder="1" applyAlignment="1">
      <alignment horizontal="left" vertical="top" wrapText="1"/>
    </xf>
    <xf numFmtId="0" fontId="0" fillId="0" borderId="8" xfId="0" applyBorder="1" applyAlignment="1">
      <alignment horizontal="left" vertical="top" wrapText="1"/>
    </xf>
    <xf numFmtId="0" fontId="0" fillId="0" borderId="15" xfId="0" applyBorder="1" applyAlignment="1">
      <alignment horizontal="left" vertical="top" wrapText="1"/>
    </xf>
    <xf numFmtId="0" fontId="0" fillId="0" borderId="1" xfId="0" applyBorder="1" applyAlignment="1">
      <alignment horizontal="left" vertical="top" wrapText="1"/>
    </xf>
    <xf numFmtId="0" fontId="6" fillId="0" borderId="1" xfId="0" applyFont="1" applyBorder="1" applyAlignment="1">
      <alignment horizontal="center" vertical="center" textRotation="90"/>
    </xf>
    <xf numFmtId="0" fontId="2" fillId="0" borderId="13" xfId="0" applyFont="1" applyBorder="1" applyAlignment="1">
      <alignment horizontal="center" vertical="center" textRotation="90" wrapText="1"/>
    </xf>
    <xf numFmtId="0" fontId="2" fillId="0" borderId="14" xfId="0" applyFont="1" applyBorder="1" applyAlignment="1">
      <alignment horizontal="center" vertical="center" textRotation="90"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6" fillId="0" borderId="9" xfId="0" applyFont="1" applyBorder="1" applyAlignment="1">
      <alignment horizontal="center" vertical="center" textRotation="90"/>
    </xf>
    <xf numFmtId="0" fontId="6" fillId="0" borderId="10" xfId="0" applyFont="1" applyBorder="1" applyAlignment="1">
      <alignment horizontal="center" vertical="center" textRotation="90"/>
    </xf>
    <xf numFmtId="0" fontId="6" fillId="0" borderId="12" xfId="0" applyFont="1" applyBorder="1" applyAlignment="1">
      <alignment horizontal="center" vertical="center" textRotation="90"/>
    </xf>
    <xf numFmtId="0" fontId="0" fillId="0" borderId="1" xfId="0" applyBorder="1" applyAlignment="1">
      <alignment horizontal="center"/>
    </xf>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56" fillId="26" borderId="34" xfId="4" applyFont="1" applyFill="1" applyBorder="1" applyAlignment="1">
      <alignment horizontal="left" vertical="top" wrapText="1" indent="10"/>
    </xf>
    <xf numFmtId="0" fontId="56" fillId="26" borderId="35" xfId="4" applyFont="1" applyFill="1" applyBorder="1" applyAlignment="1">
      <alignment horizontal="left" vertical="top" wrapText="1" indent="10"/>
    </xf>
    <xf numFmtId="0" fontId="56" fillId="26" borderId="36" xfId="4" applyFont="1" applyFill="1" applyBorder="1" applyAlignment="1">
      <alignment horizontal="left" vertical="top" wrapText="1" indent="10"/>
    </xf>
    <xf numFmtId="0" fontId="48" fillId="27" borderId="0" xfId="0" applyFont="1" applyFill="1" applyAlignment="1">
      <alignment horizontal="left"/>
    </xf>
    <xf numFmtId="0" fontId="6" fillId="0" borderId="2" xfId="0" applyFont="1" applyBorder="1" applyAlignment="1">
      <alignment horizontal="left"/>
    </xf>
    <xf numFmtId="0" fontId="6" fillId="0" borderId="3" xfId="0" applyFont="1" applyBorder="1" applyAlignment="1">
      <alignment horizontal="left"/>
    </xf>
    <xf numFmtId="0" fontId="4" fillId="0" borderId="1" xfId="0" applyFont="1" applyBorder="1" applyAlignment="1">
      <alignment horizontal="center"/>
    </xf>
    <xf numFmtId="0" fontId="8" fillId="4" borderId="0" xfId="0" applyFont="1" applyFill="1" applyAlignment="1">
      <alignment horizontal="center"/>
    </xf>
    <xf numFmtId="0" fontId="6" fillId="0" borderId="4" xfId="0" applyFont="1" applyBorder="1" applyAlignment="1">
      <alignment horizontal="left"/>
    </xf>
    <xf numFmtId="0" fontId="4" fillId="0" borderId="1" xfId="0" applyFont="1" applyBorder="1" applyAlignment="1">
      <alignment horizontal="center" vertic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164" fontId="4" fillId="2" borderId="5" xfId="1" applyNumberFormat="1" applyFont="1" applyFill="1" applyBorder="1" applyAlignment="1">
      <alignment horizontal="center"/>
    </xf>
    <xf numFmtId="164" fontId="4" fillId="2" borderId="6" xfId="1" applyNumberFormat="1" applyFont="1" applyFill="1" applyBorder="1" applyAlignment="1">
      <alignment horizontal="center"/>
    </xf>
    <xf numFmtId="164" fontId="4" fillId="2" borderId="7" xfId="1" applyNumberFormat="1" applyFont="1" applyFill="1" applyBorder="1" applyAlignment="1">
      <alignment horizontal="center"/>
    </xf>
    <xf numFmtId="0" fontId="6" fillId="0" borderId="1" xfId="0" applyFont="1" applyBorder="1" applyAlignment="1">
      <alignment horizontal="center"/>
    </xf>
    <xf numFmtId="0" fontId="2" fillId="0" borderId="2"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3" fillId="5" borderId="1" xfId="0" applyFont="1" applyFill="1" applyBorder="1" applyAlignment="1">
      <alignment horizontal="left" vertical="center"/>
    </xf>
    <xf numFmtId="6" fontId="17" fillId="5" borderId="1" xfId="0" applyNumberFormat="1" applyFont="1" applyFill="1" applyBorder="1" applyAlignment="1">
      <alignment horizontal="right" vertical="center"/>
    </xf>
    <xf numFmtId="0" fontId="17" fillId="5" borderId="1" xfId="0" applyFont="1" applyFill="1" applyBorder="1" applyAlignment="1">
      <alignment horizontal="right" vertical="center"/>
    </xf>
    <xf numFmtId="0" fontId="46" fillId="0" borderId="2" xfId="0" applyFont="1" applyBorder="1" applyAlignment="1">
      <alignment horizontal="center"/>
    </xf>
    <xf numFmtId="0" fontId="46" fillId="0" borderId="3" xfId="0" applyFont="1" applyBorder="1" applyAlignment="1">
      <alignment horizontal="center"/>
    </xf>
    <xf numFmtId="0" fontId="46" fillId="0" borderId="4" xfId="0" applyFont="1" applyBorder="1" applyAlignment="1">
      <alignment horizontal="center"/>
    </xf>
    <xf numFmtId="0" fontId="2" fillId="0" borderId="1" xfId="0" applyFont="1" applyBorder="1" applyAlignment="1">
      <alignment horizontal="left"/>
    </xf>
    <xf numFmtId="0" fontId="44" fillId="0" borderId="25" xfId="0" applyFont="1" applyBorder="1"/>
    <xf numFmtId="0" fontId="44" fillId="0" borderId="26" xfId="0" applyFont="1" applyBorder="1"/>
    <xf numFmtId="0" fontId="44" fillId="0" borderId="27" xfId="0" applyFont="1" applyBorder="1"/>
    <xf numFmtId="0" fontId="0" fillId="0" borderId="1" xfId="0" applyBorder="1" applyAlignment="1">
      <alignment horizontal="left" vertical="center"/>
    </xf>
    <xf numFmtId="0" fontId="6" fillId="0" borderId="1" xfId="0" applyFont="1" applyBorder="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wrapText="1"/>
    </xf>
    <xf numFmtId="0" fontId="15" fillId="10" borderId="1" xfId="0" applyFont="1" applyFill="1" applyBorder="1" applyAlignment="1">
      <alignment horizontal="center"/>
    </xf>
    <xf numFmtId="6" fontId="4" fillId="0" borderId="1" xfId="0" applyNumberFormat="1" applyFont="1" applyBorder="1" applyAlignment="1">
      <alignment horizontal="center"/>
    </xf>
    <xf numFmtId="0" fontId="4" fillId="0" borderId="1" xfId="0" applyFont="1" applyBorder="1" applyAlignment="1">
      <alignment horizontal="center" wrapText="1"/>
    </xf>
    <xf numFmtId="0" fontId="4" fillId="0" borderId="2" xfId="0" applyFont="1" applyBorder="1"/>
    <xf numFmtId="0" fontId="4" fillId="0" borderId="4" xfId="0" applyFont="1" applyBorder="1"/>
    <xf numFmtId="0" fontId="10" fillId="7" borderId="2" xfId="0" applyFont="1" applyFill="1" applyBorder="1" applyAlignment="1" applyProtection="1">
      <alignment horizontal="center" vertical="center" wrapText="1"/>
      <protection hidden="1"/>
    </xf>
    <xf numFmtId="0" fontId="10" fillId="7" borderId="4" xfId="0" applyFont="1" applyFill="1" applyBorder="1" applyAlignment="1" applyProtection="1">
      <alignment horizontal="center" vertical="center" wrapText="1"/>
      <protection hidden="1"/>
    </xf>
    <xf numFmtId="0" fontId="40" fillId="0" borderId="1" xfId="0" applyFont="1" applyBorder="1" applyAlignment="1">
      <alignment horizontal="center" vertical="center" wrapText="1"/>
    </xf>
    <xf numFmtId="0" fontId="40" fillId="14" borderId="1" xfId="0" applyFont="1" applyFill="1" applyBorder="1" applyAlignment="1">
      <alignment horizontal="center" vertical="center" wrapText="1"/>
    </xf>
    <xf numFmtId="0" fontId="39" fillId="12" borderId="1" xfId="0" applyFont="1" applyFill="1" applyBorder="1" applyAlignment="1">
      <alignment horizontal="center" vertical="center" wrapText="1"/>
    </xf>
    <xf numFmtId="0" fontId="42" fillId="14" borderId="1" xfId="0" applyFont="1" applyFill="1" applyBorder="1" applyAlignment="1">
      <alignment horizontal="center" vertical="center" wrapText="1"/>
    </xf>
    <xf numFmtId="0" fontId="42" fillId="0" borderId="1" xfId="0" applyFont="1" applyBorder="1" applyAlignment="1">
      <alignment horizontal="center" vertical="center" wrapText="1"/>
    </xf>
    <xf numFmtId="0" fontId="32" fillId="12" borderId="1" xfId="0" applyFont="1" applyFill="1" applyBorder="1" applyAlignment="1">
      <alignment horizontal="center" vertical="center" wrapText="1"/>
    </xf>
    <xf numFmtId="0" fontId="0" fillId="11" borderId="0" xfId="0" applyFill="1" applyAlignment="1">
      <alignment horizontal="left" vertical="top" wrapText="1"/>
    </xf>
    <xf numFmtId="0" fontId="0" fillId="15" borderId="0" xfId="0" applyFill="1" applyAlignment="1">
      <alignment horizontal="left" vertical="top" wrapText="1"/>
    </xf>
    <xf numFmtId="0" fontId="3" fillId="31" borderId="1" xfId="0" applyFont="1" applyFill="1" applyBorder="1" applyAlignment="1">
      <alignment horizontal="center"/>
    </xf>
    <xf numFmtId="0" fontId="18" fillId="31" borderId="37" xfId="0" applyFont="1" applyFill="1" applyBorder="1" applyAlignment="1">
      <alignment horizontal="center" vertical="center"/>
    </xf>
    <xf numFmtId="0" fontId="67" fillId="31" borderId="38" xfId="0" applyFont="1" applyFill="1" applyBorder="1" applyAlignment="1">
      <alignment horizontal="center" vertical="center"/>
    </xf>
    <xf numFmtId="0" fontId="67" fillId="31" borderId="39" xfId="0" applyFont="1" applyFill="1" applyBorder="1" applyAlignment="1">
      <alignment horizontal="center" vertical="center"/>
    </xf>
    <xf numFmtId="0" fontId="48" fillId="17" borderId="0" xfId="0" applyFont="1" applyFill="1" applyAlignment="1">
      <alignment horizontal="center"/>
    </xf>
    <xf numFmtId="0" fontId="0" fillId="0" borderId="1" xfId="0" applyBorder="1" applyAlignment="1">
      <alignment horizontal="left" wrapText="1"/>
    </xf>
    <xf numFmtId="0" fontId="23" fillId="11" borderId="1" xfId="0" applyFont="1" applyFill="1" applyBorder="1" applyAlignment="1">
      <alignment horizontal="left" vertical="top" wrapText="1" indent="1"/>
    </xf>
    <xf numFmtId="0" fontId="0" fillId="0" borderId="7" xfId="0" applyBorder="1" applyAlignment="1">
      <alignment horizontal="center" vertical="center" wrapText="1"/>
    </xf>
    <xf numFmtId="0" fontId="0" fillId="0" borderId="17"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8" xfId="0" applyBorder="1" applyAlignment="1">
      <alignment horizontal="center" vertical="center"/>
    </xf>
    <xf numFmtId="0" fontId="0" fillId="0" borderId="15" xfId="0" applyBorder="1" applyAlignment="1">
      <alignment horizontal="center" vertical="center"/>
    </xf>
    <xf numFmtId="0" fontId="0" fillId="12" borderId="0" xfId="0" applyFill="1" applyAlignment="1">
      <alignment horizontal="left" vertical="top" wrapText="1"/>
    </xf>
    <xf numFmtId="0" fontId="0" fillId="0" borderId="2" xfId="0" applyBorder="1" applyAlignment="1">
      <alignment horizontal="center"/>
    </xf>
    <xf numFmtId="0" fontId="0" fillId="0" borderId="4" xfId="0" applyBorder="1" applyAlignment="1">
      <alignment horizontal="center"/>
    </xf>
    <xf numFmtId="0" fontId="0" fillId="0" borderId="2" xfId="0" applyBorder="1" applyAlignment="1">
      <alignment vertical="center"/>
    </xf>
    <xf numFmtId="0" fontId="0" fillId="0" borderId="4" xfId="0" applyBorder="1" applyAlignment="1">
      <alignment vertical="center"/>
    </xf>
    <xf numFmtId="0" fontId="0" fillId="0" borderId="3" xfId="0" applyBorder="1" applyAlignment="1">
      <alignment horizontal="center"/>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17" xfId="0" applyBorder="1" applyAlignment="1">
      <alignment horizontal="center" vertical="center" wrapText="1"/>
    </xf>
    <xf numFmtId="0" fontId="0" fillId="0" borderId="16" xfId="0" applyBorder="1" applyAlignment="1">
      <alignment horizontal="center" vertical="center" wrapText="1"/>
    </xf>
    <xf numFmtId="0" fontId="8" fillId="16" borderId="0" xfId="0" applyFont="1" applyFill="1" applyAlignment="1">
      <alignment horizontal="center"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6" fillId="18" borderId="2" xfId="0" applyFont="1" applyFill="1" applyBorder="1" applyAlignment="1">
      <alignment horizontal="center" vertical="top"/>
    </xf>
    <xf numFmtId="0" fontId="6" fillId="18" borderId="3" xfId="0" applyFont="1" applyFill="1" applyBorder="1" applyAlignment="1">
      <alignment horizontal="center" vertical="top"/>
    </xf>
    <xf numFmtId="0" fontId="6" fillId="18" borderId="4" xfId="0" applyFont="1" applyFill="1" applyBorder="1" applyAlignment="1">
      <alignment horizontal="center" vertical="top"/>
    </xf>
    <xf numFmtId="0" fontId="6" fillId="18" borderId="1" xfId="0" applyFont="1" applyFill="1" applyBorder="1" applyAlignment="1">
      <alignment horizontal="center" vertical="top"/>
    </xf>
    <xf numFmtId="0" fontId="0" fillId="0" borderId="1" xfId="0" applyBorder="1" applyAlignment="1">
      <alignment horizontal="left" vertical="top"/>
    </xf>
    <xf numFmtId="0" fontId="2" fillId="20" borderId="1" xfId="0" applyFont="1" applyFill="1" applyBorder="1" applyAlignment="1">
      <alignment horizontal="center"/>
    </xf>
    <xf numFmtId="0" fontId="2" fillId="20" borderId="1" xfId="0" applyFont="1" applyFill="1" applyBorder="1" applyAlignment="1">
      <alignment horizontal="center" vertical="top"/>
    </xf>
  </cellXfs>
  <cellStyles count="5">
    <cellStyle name="Comma" xfId="1" builtinId="3"/>
    <cellStyle name="Currency" xfId="2" builtinId="4"/>
    <cellStyle name="Hyperlink" xfId="3" builtinId="8"/>
    <cellStyle name="Normal" xfId="0" builtinId="0"/>
    <cellStyle name="Normal 2" xfId="4" xr:uid="{893AFC79-8CA5-4E3F-8A37-DD4BC4399E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3</xdr:col>
      <xdr:colOff>63500</xdr:colOff>
      <xdr:row>0</xdr:row>
      <xdr:rowOff>83167</xdr:rowOff>
    </xdr:from>
    <xdr:to>
      <xdr:col>3</xdr:col>
      <xdr:colOff>1524000</xdr:colOff>
      <xdr:row>3</xdr:row>
      <xdr:rowOff>50365</xdr:rowOff>
    </xdr:to>
    <xdr:pic>
      <xdr:nvPicPr>
        <xdr:cNvPr id="2" name="Picture 1">
          <a:extLst>
            <a:ext uri="{FF2B5EF4-FFF2-40B4-BE49-F238E27FC236}">
              <a16:creationId xmlns:a16="http://schemas.microsoft.com/office/drawing/2014/main" id="{1237CF76-AB73-4F69-AA33-D5B7DE55E9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700" y="83167"/>
          <a:ext cx="1460500" cy="5196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155371</xdr:colOff>
      <xdr:row>6</xdr:row>
      <xdr:rowOff>107403</xdr:rowOff>
    </xdr:from>
    <xdr:ext cx="63500" cy="46990"/>
    <xdr:sp macro="" textlink="">
      <xdr:nvSpPr>
        <xdr:cNvPr id="172" name="Shape 2">
          <a:extLst>
            <a:ext uri="{FF2B5EF4-FFF2-40B4-BE49-F238E27FC236}">
              <a16:creationId xmlns:a16="http://schemas.microsoft.com/office/drawing/2014/main" id="{A683C172-D30D-4BED-B962-8E9113FEADEA}"/>
            </a:ext>
          </a:extLst>
        </xdr:cNvPr>
        <xdr:cNvSpPr/>
      </xdr:nvSpPr>
      <xdr:spPr>
        <a:xfrm>
          <a:off x="2879521" y="2418803"/>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clientData/>
  </xdr:oneCellAnchor>
  <xdr:oneCellAnchor>
    <xdr:from>
      <xdr:col>5</xdr:col>
      <xdr:colOff>175869</xdr:colOff>
      <xdr:row>6</xdr:row>
      <xdr:rowOff>107403</xdr:rowOff>
    </xdr:from>
    <xdr:ext cx="63500" cy="46990"/>
    <xdr:sp macro="" textlink="">
      <xdr:nvSpPr>
        <xdr:cNvPr id="173" name="Shape 3">
          <a:extLst>
            <a:ext uri="{FF2B5EF4-FFF2-40B4-BE49-F238E27FC236}">
              <a16:creationId xmlns:a16="http://schemas.microsoft.com/office/drawing/2014/main" id="{17CE4B24-F015-4C8A-8E85-26C9E10736DB}"/>
            </a:ext>
          </a:extLst>
        </xdr:cNvPr>
        <xdr:cNvSpPr/>
      </xdr:nvSpPr>
      <xdr:spPr>
        <a:xfrm>
          <a:off x="6271869" y="2418803"/>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clientData/>
  </xdr:oneCellAnchor>
  <xdr:oneCellAnchor>
    <xdr:from>
      <xdr:col>5</xdr:col>
      <xdr:colOff>175869</xdr:colOff>
      <xdr:row>7</xdr:row>
      <xdr:rowOff>107391</xdr:rowOff>
    </xdr:from>
    <xdr:ext cx="63500" cy="46990"/>
    <xdr:sp macro="" textlink="">
      <xdr:nvSpPr>
        <xdr:cNvPr id="174" name="Shape 4">
          <a:extLst>
            <a:ext uri="{FF2B5EF4-FFF2-40B4-BE49-F238E27FC236}">
              <a16:creationId xmlns:a16="http://schemas.microsoft.com/office/drawing/2014/main" id="{3D68016A-4BF1-475B-9DE3-58D06B08D9C0}"/>
            </a:ext>
          </a:extLst>
        </xdr:cNvPr>
        <xdr:cNvSpPr/>
      </xdr:nvSpPr>
      <xdr:spPr>
        <a:xfrm>
          <a:off x="6271869" y="2679141"/>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clientData/>
  </xdr:oneCellAnchor>
  <xdr:oneCellAnchor>
    <xdr:from>
      <xdr:col>3</xdr:col>
      <xdr:colOff>155371</xdr:colOff>
      <xdr:row>7</xdr:row>
      <xdr:rowOff>107391</xdr:rowOff>
    </xdr:from>
    <xdr:ext cx="63500" cy="46990"/>
    <xdr:sp macro="" textlink="">
      <xdr:nvSpPr>
        <xdr:cNvPr id="175" name="Shape 5">
          <a:extLst>
            <a:ext uri="{FF2B5EF4-FFF2-40B4-BE49-F238E27FC236}">
              <a16:creationId xmlns:a16="http://schemas.microsoft.com/office/drawing/2014/main" id="{40B5CED6-C1D7-4DB0-A595-C49A908E6DA6}"/>
            </a:ext>
          </a:extLst>
        </xdr:cNvPr>
        <xdr:cNvSpPr/>
      </xdr:nvSpPr>
      <xdr:spPr>
        <a:xfrm>
          <a:off x="2879521" y="2679141"/>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clientData/>
  </xdr:oneCellAnchor>
  <xdr:oneCellAnchor>
    <xdr:from>
      <xdr:col>3</xdr:col>
      <xdr:colOff>155371</xdr:colOff>
      <xdr:row>8</xdr:row>
      <xdr:rowOff>107149</xdr:rowOff>
    </xdr:from>
    <xdr:ext cx="63500" cy="46990"/>
    <xdr:sp macro="" textlink="">
      <xdr:nvSpPr>
        <xdr:cNvPr id="176" name="Shape 6">
          <a:extLst>
            <a:ext uri="{FF2B5EF4-FFF2-40B4-BE49-F238E27FC236}">
              <a16:creationId xmlns:a16="http://schemas.microsoft.com/office/drawing/2014/main" id="{1ED63AD4-EA8C-4753-8A4E-B35AEBFA386F}"/>
            </a:ext>
          </a:extLst>
        </xdr:cNvPr>
        <xdr:cNvSpPr/>
      </xdr:nvSpPr>
      <xdr:spPr>
        <a:xfrm>
          <a:off x="2879521" y="2939249"/>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clientData/>
  </xdr:oneCellAnchor>
  <xdr:oneCellAnchor>
    <xdr:from>
      <xdr:col>3</xdr:col>
      <xdr:colOff>155384</xdr:colOff>
      <xdr:row>9</xdr:row>
      <xdr:rowOff>110223</xdr:rowOff>
    </xdr:from>
    <xdr:ext cx="63500" cy="46990"/>
    <xdr:sp macro="" textlink="">
      <xdr:nvSpPr>
        <xdr:cNvPr id="177" name="Shape 7">
          <a:extLst>
            <a:ext uri="{FF2B5EF4-FFF2-40B4-BE49-F238E27FC236}">
              <a16:creationId xmlns:a16="http://schemas.microsoft.com/office/drawing/2014/main" id="{DD1AC104-AC19-497D-9B56-3E62AE5A171A}"/>
            </a:ext>
          </a:extLst>
        </xdr:cNvPr>
        <xdr:cNvSpPr/>
      </xdr:nvSpPr>
      <xdr:spPr>
        <a:xfrm>
          <a:off x="2879534" y="3202673"/>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clientData/>
  </xdr:oneCellAnchor>
  <xdr:oneCellAnchor>
    <xdr:from>
      <xdr:col>5</xdr:col>
      <xdr:colOff>175869</xdr:colOff>
      <xdr:row>9</xdr:row>
      <xdr:rowOff>110223</xdr:rowOff>
    </xdr:from>
    <xdr:ext cx="63500" cy="46990"/>
    <xdr:sp macro="" textlink="">
      <xdr:nvSpPr>
        <xdr:cNvPr id="178" name="Shape 8">
          <a:extLst>
            <a:ext uri="{FF2B5EF4-FFF2-40B4-BE49-F238E27FC236}">
              <a16:creationId xmlns:a16="http://schemas.microsoft.com/office/drawing/2014/main" id="{7606E953-91EC-48D7-A2CF-2147CF3A34A1}"/>
            </a:ext>
          </a:extLst>
        </xdr:cNvPr>
        <xdr:cNvSpPr/>
      </xdr:nvSpPr>
      <xdr:spPr>
        <a:xfrm>
          <a:off x="6271869" y="3202673"/>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clientData/>
  </xdr:oneCellAnchor>
  <xdr:oneCellAnchor>
    <xdr:from>
      <xdr:col>3</xdr:col>
      <xdr:colOff>155384</xdr:colOff>
      <xdr:row>5</xdr:row>
      <xdr:rowOff>232651</xdr:rowOff>
    </xdr:from>
    <xdr:ext cx="63500" cy="46990"/>
    <xdr:sp macro="" textlink="">
      <xdr:nvSpPr>
        <xdr:cNvPr id="179" name="Shape 9">
          <a:extLst>
            <a:ext uri="{FF2B5EF4-FFF2-40B4-BE49-F238E27FC236}">
              <a16:creationId xmlns:a16="http://schemas.microsoft.com/office/drawing/2014/main" id="{6D052410-F52E-4724-83A6-9F36C562FBE9}"/>
            </a:ext>
          </a:extLst>
        </xdr:cNvPr>
        <xdr:cNvSpPr/>
      </xdr:nvSpPr>
      <xdr:spPr>
        <a:xfrm>
          <a:off x="2879534" y="2156701"/>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clientData/>
  </xdr:oneCellAnchor>
  <xdr:oneCellAnchor>
    <xdr:from>
      <xdr:col>5</xdr:col>
      <xdr:colOff>175869</xdr:colOff>
      <xdr:row>5</xdr:row>
      <xdr:rowOff>232651</xdr:rowOff>
    </xdr:from>
    <xdr:ext cx="63500" cy="46990"/>
    <xdr:sp macro="" textlink="">
      <xdr:nvSpPr>
        <xdr:cNvPr id="180" name="Shape 10">
          <a:extLst>
            <a:ext uri="{FF2B5EF4-FFF2-40B4-BE49-F238E27FC236}">
              <a16:creationId xmlns:a16="http://schemas.microsoft.com/office/drawing/2014/main" id="{E4591772-D1C1-472A-AB75-DB5D67945206}"/>
            </a:ext>
          </a:extLst>
        </xdr:cNvPr>
        <xdr:cNvSpPr/>
      </xdr:nvSpPr>
      <xdr:spPr>
        <a:xfrm>
          <a:off x="6271869" y="2156701"/>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clientData/>
  </xdr:oneCellAnchor>
  <xdr:oneCellAnchor>
    <xdr:from>
      <xdr:col>3</xdr:col>
      <xdr:colOff>123431</xdr:colOff>
      <xdr:row>3</xdr:row>
      <xdr:rowOff>1020267</xdr:rowOff>
    </xdr:from>
    <xdr:ext cx="1197610" cy="0"/>
    <xdr:sp macro="" textlink="">
      <xdr:nvSpPr>
        <xdr:cNvPr id="181" name="Shape 11">
          <a:extLst>
            <a:ext uri="{FF2B5EF4-FFF2-40B4-BE49-F238E27FC236}">
              <a16:creationId xmlns:a16="http://schemas.microsoft.com/office/drawing/2014/main" id="{36073665-68B6-4241-97CF-5DFC962A2610}"/>
            </a:ext>
          </a:extLst>
        </xdr:cNvPr>
        <xdr:cNvSpPr/>
      </xdr:nvSpPr>
      <xdr:spPr>
        <a:xfrm>
          <a:off x="2847581" y="1166317"/>
          <a:ext cx="1197610" cy="0"/>
        </a:xfrm>
        <a:custGeom>
          <a:avLst/>
          <a:gdLst/>
          <a:ahLst/>
          <a:cxnLst/>
          <a:rect l="0" t="0" r="0" b="0"/>
          <a:pathLst>
            <a:path w="1197610">
              <a:moveTo>
                <a:pt x="0" y="0"/>
              </a:moveTo>
              <a:lnTo>
                <a:pt x="1197597" y="0"/>
              </a:lnTo>
            </a:path>
          </a:pathLst>
        </a:custGeom>
        <a:ln w="4838">
          <a:solidFill>
            <a:srgbClr val="606465"/>
          </a:solidFill>
        </a:ln>
      </xdr:spPr>
    </xdr:sp>
    <xdr:clientData/>
  </xdr:oneCellAnchor>
  <xdr:oneCellAnchor>
    <xdr:from>
      <xdr:col>4</xdr:col>
      <xdr:colOff>122377</xdr:colOff>
      <xdr:row>3</xdr:row>
      <xdr:rowOff>1020267</xdr:rowOff>
    </xdr:from>
    <xdr:ext cx="1197610" cy="0"/>
    <xdr:sp macro="" textlink="">
      <xdr:nvSpPr>
        <xdr:cNvPr id="182" name="Shape 12">
          <a:extLst>
            <a:ext uri="{FF2B5EF4-FFF2-40B4-BE49-F238E27FC236}">
              <a16:creationId xmlns:a16="http://schemas.microsoft.com/office/drawing/2014/main" id="{43F89425-6B62-4191-BF36-D84FCFB22801}"/>
            </a:ext>
          </a:extLst>
        </xdr:cNvPr>
        <xdr:cNvSpPr/>
      </xdr:nvSpPr>
      <xdr:spPr>
        <a:xfrm>
          <a:off x="4541977" y="1166317"/>
          <a:ext cx="1197610" cy="0"/>
        </a:xfrm>
        <a:custGeom>
          <a:avLst/>
          <a:gdLst/>
          <a:ahLst/>
          <a:cxnLst/>
          <a:rect l="0" t="0" r="0" b="0"/>
          <a:pathLst>
            <a:path w="1197610">
              <a:moveTo>
                <a:pt x="0" y="0"/>
              </a:moveTo>
              <a:lnTo>
                <a:pt x="1197597" y="0"/>
              </a:lnTo>
            </a:path>
          </a:pathLst>
        </a:custGeom>
        <a:ln w="4838">
          <a:solidFill>
            <a:srgbClr val="606465"/>
          </a:solidFill>
        </a:ln>
      </xdr:spPr>
    </xdr:sp>
    <xdr:clientData/>
  </xdr:oneCellAnchor>
  <xdr:oneCellAnchor>
    <xdr:from>
      <xdr:col>5</xdr:col>
      <xdr:colOff>141109</xdr:colOff>
      <xdr:row>3</xdr:row>
      <xdr:rowOff>1020267</xdr:rowOff>
    </xdr:from>
    <xdr:ext cx="1193165" cy="0"/>
    <xdr:sp macro="" textlink="">
      <xdr:nvSpPr>
        <xdr:cNvPr id="183" name="Shape 13">
          <a:extLst>
            <a:ext uri="{FF2B5EF4-FFF2-40B4-BE49-F238E27FC236}">
              <a16:creationId xmlns:a16="http://schemas.microsoft.com/office/drawing/2014/main" id="{F619C71E-5886-44BF-8723-8CC076DA1281}"/>
            </a:ext>
          </a:extLst>
        </xdr:cNvPr>
        <xdr:cNvSpPr/>
      </xdr:nvSpPr>
      <xdr:spPr>
        <a:xfrm>
          <a:off x="6237109" y="1166317"/>
          <a:ext cx="1193165" cy="0"/>
        </a:xfrm>
        <a:custGeom>
          <a:avLst/>
          <a:gdLst/>
          <a:ahLst/>
          <a:cxnLst/>
          <a:rect l="0" t="0" r="0" b="0"/>
          <a:pathLst>
            <a:path w="1193165">
              <a:moveTo>
                <a:pt x="0" y="0"/>
              </a:moveTo>
              <a:lnTo>
                <a:pt x="1192657" y="0"/>
              </a:lnTo>
            </a:path>
          </a:pathLst>
        </a:custGeom>
        <a:ln w="4838">
          <a:solidFill>
            <a:srgbClr val="606465"/>
          </a:solidFill>
        </a:ln>
      </xdr:spPr>
    </xdr:sp>
    <xdr:clientData/>
  </xdr:oneCellAnchor>
  <xdr:oneCellAnchor>
    <xdr:from>
      <xdr:col>6</xdr:col>
      <xdr:colOff>137261</xdr:colOff>
      <xdr:row>3</xdr:row>
      <xdr:rowOff>1020267</xdr:rowOff>
    </xdr:from>
    <xdr:ext cx="1197610" cy="0"/>
    <xdr:sp macro="" textlink="">
      <xdr:nvSpPr>
        <xdr:cNvPr id="184" name="Shape 14">
          <a:extLst>
            <a:ext uri="{FF2B5EF4-FFF2-40B4-BE49-F238E27FC236}">
              <a16:creationId xmlns:a16="http://schemas.microsoft.com/office/drawing/2014/main" id="{B377851C-CE8F-4D80-9EA2-F3C8F4710281}"/>
            </a:ext>
          </a:extLst>
        </xdr:cNvPr>
        <xdr:cNvSpPr/>
      </xdr:nvSpPr>
      <xdr:spPr>
        <a:xfrm>
          <a:off x="7884261" y="1166317"/>
          <a:ext cx="1197610" cy="0"/>
        </a:xfrm>
        <a:custGeom>
          <a:avLst/>
          <a:gdLst/>
          <a:ahLst/>
          <a:cxnLst/>
          <a:rect l="0" t="0" r="0" b="0"/>
          <a:pathLst>
            <a:path w="1197610">
              <a:moveTo>
                <a:pt x="0" y="0"/>
              </a:moveTo>
              <a:lnTo>
                <a:pt x="1197597" y="0"/>
              </a:lnTo>
            </a:path>
          </a:pathLst>
        </a:custGeom>
        <a:ln w="4838">
          <a:solidFill>
            <a:srgbClr val="606465"/>
          </a:solidFill>
        </a:ln>
      </xdr:spPr>
    </xdr:sp>
    <xdr:clientData/>
  </xdr:oneCellAnchor>
  <xdr:oneCellAnchor>
    <xdr:from>
      <xdr:col>3</xdr:col>
      <xdr:colOff>120599</xdr:colOff>
      <xdr:row>6</xdr:row>
      <xdr:rowOff>61937</xdr:rowOff>
    </xdr:from>
    <xdr:ext cx="137160" cy="137160"/>
    <xdr:sp macro="" textlink="">
      <xdr:nvSpPr>
        <xdr:cNvPr id="185" name="Shape 16">
          <a:extLst>
            <a:ext uri="{FF2B5EF4-FFF2-40B4-BE49-F238E27FC236}">
              <a16:creationId xmlns:a16="http://schemas.microsoft.com/office/drawing/2014/main" id="{945BFC04-CAF2-4A24-855C-1037D72CA816}"/>
            </a:ext>
          </a:extLst>
        </xdr:cNvPr>
        <xdr:cNvSpPr/>
      </xdr:nvSpPr>
      <xdr:spPr>
        <a:xfrm>
          <a:off x="2844749" y="2373337"/>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clientData/>
  </xdr:oneCellAnchor>
  <xdr:oneCellAnchor>
    <xdr:from>
      <xdr:col>4</xdr:col>
      <xdr:colOff>122364</xdr:colOff>
      <xdr:row>6</xdr:row>
      <xdr:rowOff>61937</xdr:rowOff>
    </xdr:from>
    <xdr:ext cx="137160" cy="137160"/>
    <xdr:grpSp>
      <xdr:nvGrpSpPr>
        <xdr:cNvPr id="186" name="Group 17">
          <a:extLst>
            <a:ext uri="{FF2B5EF4-FFF2-40B4-BE49-F238E27FC236}">
              <a16:creationId xmlns:a16="http://schemas.microsoft.com/office/drawing/2014/main" id="{63123FF4-6AA8-4F3E-B0D5-3F0B4390BDF2}"/>
            </a:ext>
          </a:extLst>
        </xdr:cNvPr>
        <xdr:cNvGrpSpPr/>
      </xdr:nvGrpSpPr>
      <xdr:grpSpPr>
        <a:xfrm>
          <a:off x="3856958" y="2653531"/>
          <a:ext cx="137160" cy="137160"/>
          <a:chOff x="0" y="0"/>
          <a:chExt cx="137160" cy="137160"/>
        </a:xfrm>
      </xdr:grpSpPr>
      <xdr:sp macro="" textlink="">
        <xdr:nvSpPr>
          <xdr:cNvPr id="187" name="Shape 18">
            <a:extLst>
              <a:ext uri="{FF2B5EF4-FFF2-40B4-BE49-F238E27FC236}">
                <a16:creationId xmlns:a16="http://schemas.microsoft.com/office/drawing/2014/main" id="{E81C28BF-0015-4094-AB9E-AA7044C2D63C}"/>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188" name="Shape 19">
            <a:extLst>
              <a:ext uri="{FF2B5EF4-FFF2-40B4-BE49-F238E27FC236}">
                <a16:creationId xmlns:a16="http://schemas.microsoft.com/office/drawing/2014/main" id="{B47AB7C2-E4D6-491B-B786-9D7E4219C0BB}"/>
              </a:ext>
            </a:extLst>
          </xdr:cNvPr>
          <xdr:cNvSpPr/>
        </xdr:nvSpPr>
        <xdr:spPr>
          <a:xfrm>
            <a:off x="34772" y="45465"/>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grpSp>
    <xdr:clientData/>
  </xdr:oneCellAnchor>
  <xdr:oneCellAnchor>
    <xdr:from>
      <xdr:col>5</xdr:col>
      <xdr:colOff>141109</xdr:colOff>
      <xdr:row>6</xdr:row>
      <xdr:rowOff>61937</xdr:rowOff>
    </xdr:from>
    <xdr:ext cx="137160" cy="137160"/>
    <xdr:sp macro="" textlink="">
      <xdr:nvSpPr>
        <xdr:cNvPr id="189" name="Shape 20">
          <a:extLst>
            <a:ext uri="{FF2B5EF4-FFF2-40B4-BE49-F238E27FC236}">
              <a16:creationId xmlns:a16="http://schemas.microsoft.com/office/drawing/2014/main" id="{7484DDD0-48DB-4F91-83BB-2A095B8E5A93}"/>
            </a:ext>
          </a:extLst>
        </xdr:cNvPr>
        <xdr:cNvSpPr/>
      </xdr:nvSpPr>
      <xdr:spPr>
        <a:xfrm>
          <a:off x="6237109" y="2373337"/>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clientData/>
  </xdr:oneCellAnchor>
  <xdr:oneCellAnchor>
    <xdr:from>
      <xdr:col>6</xdr:col>
      <xdr:colOff>174104</xdr:colOff>
      <xdr:row>6</xdr:row>
      <xdr:rowOff>61937</xdr:rowOff>
    </xdr:from>
    <xdr:ext cx="137160" cy="137160"/>
    <xdr:grpSp>
      <xdr:nvGrpSpPr>
        <xdr:cNvPr id="190" name="Group 21">
          <a:extLst>
            <a:ext uri="{FF2B5EF4-FFF2-40B4-BE49-F238E27FC236}">
              <a16:creationId xmlns:a16="http://schemas.microsoft.com/office/drawing/2014/main" id="{4A06F4B0-C495-4026-9289-F511815BC1DF}"/>
            </a:ext>
          </a:extLst>
        </xdr:cNvPr>
        <xdr:cNvGrpSpPr/>
      </xdr:nvGrpSpPr>
      <xdr:grpSpPr>
        <a:xfrm>
          <a:off x="6488385" y="2653531"/>
          <a:ext cx="137160" cy="137160"/>
          <a:chOff x="0" y="0"/>
          <a:chExt cx="137160" cy="137160"/>
        </a:xfrm>
      </xdr:grpSpPr>
      <xdr:sp macro="" textlink="">
        <xdr:nvSpPr>
          <xdr:cNvPr id="191" name="Shape 22">
            <a:extLst>
              <a:ext uri="{FF2B5EF4-FFF2-40B4-BE49-F238E27FC236}">
                <a16:creationId xmlns:a16="http://schemas.microsoft.com/office/drawing/2014/main" id="{9EB2682A-6BC0-447A-B6F3-6BC48B6A0147}"/>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192" name="Shape 23">
            <a:extLst>
              <a:ext uri="{FF2B5EF4-FFF2-40B4-BE49-F238E27FC236}">
                <a16:creationId xmlns:a16="http://schemas.microsoft.com/office/drawing/2014/main" id="{DBCF3044-3374-450D-8A67-6882B33AB366}"/>
              </a:ext>
            </a:extLst>
          </xdr:cNvPr>
          <xdr:cNvSpPr/>
        </xdr:nvSpPr>
        <xdr:spPr>
          <a:xfrm>
            <a:off x="34772" y="45465"/>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grpSp>
    <xdr:clientData/>
  </xdr:oneCellAnchor>
  <xdr:oneCellAnchor>
    <xdr:from>
      <xdr:col>7</xdr:col>
      <xdr:colOff>191922</xdr:colOff>
      <xdr:row>6</xdr:row>
      <xdr:rowOff>61937</xdr:rowOff>
    </xdr:from>
    <xdr:ext cx="137160" cy="137160"/>
    <xdr:grpSp>
      <xdr:nvGrpSpPr>
        <xdr:cNvPr id="193" name="Group 24">
          <a:extLst>
            <a:ext uri="{FF2B5EF4-FFF2-40B4-BE49-F238E27FC236}">
              <a16:creationId xmlns:a16="http://schemas.microsoft.com/office/drawing/2014/main" id="{26F3795C-2D62-4A13-A57D-8D0EC825FD3C}"/>
            </a:ext>
          </a:extLst>
        </xdr:cNvPr>
        <xdr:cNvGrpSpPr/>
      </xdr:nvGrpSpPr>
      <xdr:grpSpPr>
        <a:xfrm>
          <a:off x="8117516" y="2653531"/>
          <a:ext cx="137160" cy="137160"/>
          <a:chOff x="0" y="0"/>
          <a:chExt cx="137160" cy="137160"/>
        </a:xfrm>
      </xdr:grpSpPr>
      <xdr:sp macro="" textlink="">
        <xdr:nvSpPr>
          <xdr:cNvPr id="194" name="Shape 25">
            <a:extLst>
              <a:ext uri="{FF2B5EF4-FFF2-40B4-BE49-F238E27FC236}">
                <a16:creationId xmlns:a16="http://schemas.microsoft.com/office/drawing/2014/main" id="{4CBF01EA-6DAF-4EB5-A23B-0C0FC4824100}"/>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195" name="Shape 26">
            <a:extLst>
              <a:ext uri="{FF2B5EF4-FFF2-40B4-BE49-F238E27FC236}">
                <a16:creationId xmlns:a16="http://schemas.microsoft.com/office/drawing/2014/main" id="{1AFDAF07-C905-4B4F-937D-B162CC8E7E2A}"/>
              </a:ext>
            </a:extLst>
          </xdr:cNvPr>
          <xdr:cNvSpPr/>
        </xdr:nvSpPr>
        <xdr:spPr>
          <a:xfrm>
            <a:off x="34759" y="45465"/>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grpSp>
    <xdr:clientData/>
  </xdr:oneCellAnchor>
  <xdr:oneCellAnchor>
    <xdr:from>
      <xdr:col>4</xdr:col>
      <xdr:colOff>122364</xdr:colOff>
      <xdr:row>7</xdr:row>
      <xdr:rowOff>61937</xdr:rowOff>
    </xdr:from>
    <xdr:ext cx="137160" cy="137160"/>
    <xdr:grpSp>
      <xdr:nvGrpSpPr>
        <xdr:cNvPr id="196" name="Group 27">
          <a:extLst>
            <a:ext uri="{FF2B5EF4-FFF2-40B4-BE49-F238E27FC236}">
              <a16:creationId xmlns:a16="http://schemas.microsoft.com/office/drawing/2014/main" id="{39D43FB7-09B8-483F-B43A-464AEB2DC190}"/>
            </a:ext>
          </a:extLst>
        </xdr:cNvPr>
        <xdr:cNvGrpSpPr/>
      </xdr:nvGrpSpPr>
      <xdr:grpSpPr>
        <a:xfrm>
          <a:off x="3856958" y="2899593"/>
          <a:ext cx="137160" cy="137160"/>
          <a:chOff x="0" y="0"/>
          <a:chExt cx="137160" cy="137160"/>
        </a:xfrm>
      </xdr:grpSpPr>
      <xdr:sp macro="" textlink="">
        <xdr:nvSpPr>
          <xdr:cNvPr id="197" name="Shape 28">
            <a:extLst>
              <a:ext uri="{FF2B5EF4-FFF2-40B4-BE49-F238E27FC236}">
                <a16:creationId xmlns:a16="http://schemas.microsoft.com/office/drawing/2014/main" id="{E4BBB1D1-C60A-434B-A77D-6CB7E3649542}"/>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198" name="Shape 29">
            <a:extLst>
              <a:ext uri="{FF2B5EF4-FFF2-40B4-BE49-F238E27FC236}">
                <a16:creationId xmlns:a16="http://schemas.microsoft.com/office/drawing/2014/main" id="{688E5CCB-4DA2-4C95-9924-8A568AC4F8FF}"/>
              </a:ext>
            </a:extLst>
          </xdr:cNvPr>
          <xdr:cNvSpPr/>
        </xdr:nvSpPr>
        <xdr:spPr>
          <a:xfrm>
            <a:off x="34759" y="45453"/>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grpSp>
    <xdr:clientData/>
  </xdr:oneCellAnchor>
  <xdr:oneCellAnchor>
    <xdr:from>
      <xdr:col>5</xdr:col>
      <xdr:colOff>141109</xdr:colOff>
      <xdr:row>7</xdr:row>
      <xdr:rowOff>61937</xdr:rowOff>
    </xdr:from>
    <xdr:ext cx="137160" cy="137160"/>
    <xdr:sp macro="" textlink="">
      <xdr:nvSpPr>
        <xdr:cNvPr id="199" name="Shape 30">
          <a:extLst>
            <a:ext uri="{FF2B5EF4-FFF2-40B4-BE49-F238E27FC236}">
              <a16:creationId xmlns:a16="http://schemas.microsoft.com/office/drawing/2014/main" id="{56530E03-36AF-41AA-A3FD-3C8F213B652E}"/>
            </a:ext>
          </a:extLst>
        </xdr:cNvPr>
        <xdr:cNvSpPr/>
      </xdr:nvSpPr>
      <xdr:spPr>
        <a:xfrm>
          <a:off x="6237109" y="2633687"/>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clientData/>
  </xdr:oneCellAnchor>
  <xdr:oneCellAnchor>
    <xdr:from>
      <xdr:col>6</xdr:col>
      <xdr:colOff>174104</xdr:colOff>
      <xdr:row>7</xdr:row>
      <xdr:rowOff>61937</xdr:rowOff>
    </xdr:from>
    <xdr:ext cx="137160" cy="137160"/>
    <xdr:grpSp>
      <xdr:nvGrpSpPr>
        <xdr:cNvPr id="200" name="Group 31">
          <a:extLst>
            <a:ext uri="{FF2B5EF4-FFF2-40B4-BE49-F238E27FC236}">
              <a16:creationId xmlns:a16="http://schemas.microsoft.com/office/drawing/2014/main" id="{C5F8833E-0087-47AB-A4D1-2502A3543FAE}"/>
            </a:ext>
          </a:extLst>
        </xdr:cNvPr>
        <xdr:cNvGrpSpPr/>
      </xdr:nvGrpSpPr>
      <xdr:grpSpPr>
        <a:xfrm>
          <a:off x="6488385" y="2899593"/>
          <a:ext cx="137160" cy="137160"/>
          <a:chOff x="0" y="0"/>
          <a:chExt cx="137160" cy="137160"/>
        </a:xfrm>
      </xdr:grpSpPr>
      <xdr:sp macro="" textlink="">
        <xdr:nvSpPr>
          <xdr:cNvPr id="201" name="Shape 32">
            <a:extLst>
              <a:ext uri="{FF2B5EF4-FFF2-40B4-BE49-F238E27FC236}">
                <a16:creationId xmlns:a16="http://schemas.microsoft.com/office/drawing/2014/main" id="{30458E08-6297-49EC-943D-8C5C9C1DB1CC}"/>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02" name="Shape 33">
            <a:extLst>
              <a:ext uri="{FF2B5EF4-FFF2-40B4-BE49-F238E27FC236}">
                <a16:creationId xmlns:a16="http://schemas.microsoft.com/office/drawing/2014/main" id="{4B815D85-AFF2-4AEA-9938-BFE45498DD9E}"/>
              </a:ext>
            </a:extLst>
          </xdr:cNvPr>
          <xdr:cNvSpPr/>
        </xdr:nvSpPr>
        <xdr:spPr>
          <a:xfrm>
            <a:off x="34772" y="45453"/>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grpSp>
    <xdr:clientData/>
  </xdr:oneCellAnchor>
  <xdr:oneCellAnchor>
    <xdr:from>
      <xdr:col>7</xdr:col>
      <xdr:colOff>191922</xdr:colOff>
      <xdr:row>7</xdr:row>
      <xdr:rowOff>61937</xdr:rowOff>
    </xdr:from>
    <xdr:ext cx="137160" cy="137160"/>
    <xdr:grpSp>
      <xdr:nvGrpSpPr>
        <xdr:cNvPr id="203" name="Group 34">
          <a:extLst>
            <a:ext uri="{FF2B5EF4-FFF2-40B4-BE49-F238E27FC236}">
              <a16:creationId xmlns:a16="http://schemas.microsoft.com/office/drawing/2014/main" id="{F43E3B8F-A39B-44C6-9098-80F3E47511F9}"/>
            </a:ext>
          </a:extLst>
        </xdr:cNvPr>
        <xdr:cNvGrpSpPr/>
      </xdr:nvGrpSpPr>
      <xdr:grpSpPr>
        <a:xfrm>
          <a:off x="8117516" y="2899593"/>
          <a:ext cx="137160" cy="137160"/>
          <a:chOff x="0" y="0"/>
          <a:chExt cx="137160" cy="137160"/>
        </a:xfrm>
      </xdr:grpSpPr>
      <xdr:sp macro="" textlink="">
        <xdr:nvSpPr>
          <xdr:cNvPr id="204" name="Shape 35">
            <a:extLst>
              <a:ext uri="{FF2B5EF4-FFF2-40B4-BE49-F238E27FC236}">
                <a16:creationId xmlns:a16="http://schemas.microsoft.com/office/drawing/2014/main" id="{73D3A485-040C-43A0-9FFD-768F9D6BFD44}"/>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05" name="Shape 36">
            <a:extLst>
              <a:ext uri="{FF2B5EF4-FFF2-40B4-BE49-F238E27FC236}">
                <a16:creationId xmlns:a16="http://schemas.microsoft.com/office/drawing/2014/main" id="{87437797-8C95-4C7D-A242-5B0BAE7CC0A9}"/>
              </a:ext>
            </a:extLst>
          </xdr:cNvPr>
          <xdr:cNvSpPr/>
        </xdr:nvSpPr>
        <xdr:spPr>
          <a:xfrm>
            <a:off x="34759" y="45453"/>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grpSp>
    <xdr:clientData/>
  </xdr:oneCellAnchor>
  <xdr:oneCellAnchor>
    <xdr:from>
      <xdr:col>3</xdr:col>
      <xdr:colOff>120599</xdr:colOff>
      <xdr:row>7</xdr:row>
      <xdr:rowOff>61937</xdr:rowOff>
    </xdr:from>
    <xdr:ext cx="137160" cy="137160"/>
    <xdr:sp macro="" textlink="">
      <xdr:nvSpPr>
        <xdr:cNvPr id="206" name="Shape 37">
          <a:extLst>
            <a:ext uri="{FF2B5EF4-FFF2-40B4-BE49-F238E27FC236}">
              <a16:creationId xmlns:a16="http://schemas.microsoft.com/office/drawing/2014/main" id="{989C89BA-678D-49AD-9774-A6973B4CAE4A}"/>
            </a:ext>
          </a:extLst>
        </xdr:cNvPr>
        <xdr:cNvSpPr/>
      </xdr:nvSpPr>
      <xdr:spPr>
        <a:xfrm>
          <a:off x="2844749" y="2633687"/>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clientData/>
  </xdr:oneCellAnchor>
  <xdr:oneCellAnchor>
    <xdr:from>
      <xdr:col>5</xdr:col>
      <xdr:colOff>138284</xdr:colOff>
      <xdr:row>8</xdr:row>
      <xdr:rowOff>61695</xdr:rowOff>
    </xdr:from>
    <xdr:ext cx="137126" cy="137128"/>
    <xdr:pic>
      <xdr:nvPicPr>
        <xdr:cNvPr id="207" name="image1.png">
          <a:extLst>
            <a:ext uri="{FF2B5EF4-FFF2-40B4-BE49-F238E27FC236}">
              <a16:creationId xmlns:a16="http://schemas.microsoft.com/office/drawing/2014/main" id="{A3B63FB5-2CB0-4025-95C9-F8B60398E0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34284" y="2893795"/>
          <a:ext cx="137126" cy="137128"/>
        </a:xfrm>
        <a:prstGeom prst="rect">
          <a:avLst/>
        </a:prstGeom>
      </xdr:spPr>
    </xdr:pic>
    <xdr:clientData/>
  </xdr:oneCellAnchor>
  <xdr:oneCellAnchor>
    <xdr:from>
      <xdr:col>3</xdr:col>
      <xdr:colOff>120599</xdr:colOff>
      <xdr:row>8</xdr:row>
      <xdr:rowOff>61696</xdr:rowOff>
    </xdr:from>
    <xdr:ext cx="137160" cy="137160"/>
    <xdr:sp macro="" textlink="">
      <xdr:nvSpPr>
        <xdr:cNvPr id="208" name="Shape 39">
          <a:extLst>
            <a:ext uri="{FF2B5EF4-FFF2-40B4-BE49-F238E27FC236}">
              <a16:creationId xmlns:a16="http://schemas.microsoft.com/office/drawing/2014/main" id="{AD78FC52-1AA6-4654-A801-14090D86FC39}"/>
            </a:ext>
          </a:extLst>
        </xdr:cNvPr>
        <xdr:cNvSpPr/>
      </xdr:nvSpPr>
      <xdr:spPr>
        <a:xfrm>
          <a:off x="2844749" y="2893796"/>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clientData/>
  </xdr:oneCellAnchor>
  <xdr:oneCellAnchor>
    <xdr:from>
      <xdr:col>4</xdr:col>
      <xdr:colOff>122364</xdr:colOff>
      <xdr:row>8</xdr:row>
      <xdr:rowOff>61696</xdr:rowOff>
    </xdr:from>
    <xdr:ext cx="137160" cy="137160"/>
    <xdr:grpSp>
      <xdr:nvGrpSpPr>
        <xdr:cNvPr id="209" name="Group 40">
          <a:extLst>
            <a:ext uri="{FF2B5EF4-FFF2-40B4-BE49-F238E27FC236}">
              <a16:creationId xmlns:a16="http://schemas.microsoft.com/office/drawing/2014/main" id="{9121210E-36D4-4DFA-8645-DCD1CF7045CA}"/>
            </a:ext>
          </a:extLst>
        </xdr:cNvPr>
        <xdr:cNvGrpSpPr/>
      </xdr:nvGrpSpPr>
      <xdr:grpSpPr>
        <a:xfrm>
          <a:off x="3856958" y="3081915"/>
          <a:ext cx="137160" cy="137160"/>
          <a:chOff x="0" y="0"/>
          <a:chExt cx="137160" cy="137160"/>
        </a:xfrm>
      </xdr:grpSpPr>
      <xdr:sp macro="" textlink="">
        <xdr:nvSpPr>
          <xdr:cNvPr id="210" name="Shape 41">
            <a:extLst>
              <a:ext uri="{FF2B5EF4-FFF2-40B4-BE49-F238E27FC236}">
                <a16:creationId xmlns:a16="http://schemas.microsoft.com/office/drawing/2014/main" id="{991FA664-676D-48D5-A9F5-118895ADA2DF}"/>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11" name="Shape 42">
            <a:extLst>
              <a:ext uri="{FF2B5EF4-FFF2-40B4-BE49-F238E27FC236}">
                <a16:creationId xmlns:a16="http://schemas.microsoft.com/office/drawing/2014/main" id="{DCDEE768-6018-4DF4-B158-23761C651EB9}"/>
              </a:ext>
            </a:extLst>
          </xdr:cNvPr>
          <xdr:cNvSpPr/>
        </xdr:nvSpPr>
        <xdr:spPr>
          <a:xfrm>
            <a:off x="34772" y="45453"/>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grpSp>
    <xdr:clientData/>
  </xdr:oneCellAnchor>
  <xdr:oneCellAnchor>
    <xdr:from>
      <xdr:col>6</xdr:col>
      <xdr:colOff>174104</xdr:colOff>
      <xdr:row>8</xdr:row>
      <xdr:rowOff>61696</xdr:rowOff>
    </xdr:from>
    <xdr:ext cx="137160" cy="137160"/>
    <xdr:grpSp>
      <xdr:nvGrpSpPr>
        <xdr:cNvPr id="212" name="Group 43">
          <a:extLst>
            <a:ext uri="{FF2B5EF4-FFF2-40B4-BE49-F238E27FC236}">
              <a16:creationId xmlns:a16="http://schemas.microsoft.com/office/drawing/2014/main" id="{56DA3A02-55FD-4095-A636-419E4713C5A8}"/>
            </a:ext>
          </a:extLst>
        </xdr:cNvPr>
        <xdr:cNvGrpSpPr/>
      </xdr:nvGrpSpPr>
      <xdr:grpSpPr>
        <a:xfrm>
          <a:off x="6488385" y="3081915"/>
          <a:ext cx="137160" cy="137160"/>
          <a:chOff x="0" y="0"/>
          <a:chExt cx="137160" cy="137160"/>
        </a:xfrm>
      </xdr:grpSpPr>
      <xdr:sp macro="" textlink="">
        <xdr:nvSpPr>
          <xdr:cNvPr id="213" name="Shape 44">
            <a:extLst>
              <a:ext uri="{FF2B5EF4-FFF2-40B4-BE49-F238E27FC236}">
                <a16:creationId xmlns:a16="http://schemas.microsoft.com/office/drawing/2014/main" id="{459393FB-7349-4D7E-AC36-E08F7B45E8CF}"/>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14" name="Shape 45">
            <a:extLst>
              <a:ext uri="{FF2B5EF4-FFF2-40B4-BE49-F238E27FC236}">
                <a16:creationId xmlns:a16="http://schemas.microsoft.com/office/drawing/2014/main" id="{E306D069-066E-4C4A-B72C-C2AB5033CC2F}"/>
              </a:ext>
            </a:extLst>
          </xdr:cNvPr>
          <xdr:cNvSpPr/>
        </xdr:nvSpPr>
        <xdr:spPr>
          <a:xfrm>
            <a:off x="34772" y="45453"/>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grpSp>
    <xdr:clientData/>
  </xdr:oneCellAnchor>
  <xdr:oneCellAnchor>
    <xdr:from>
      <xdr:col>7</xdr:col>
      <xdr:colOff>191922</xdr:colOff>
      <xdr:row>8</xdr:row>
      <xdr:rowOff>61696</xdr:rowOff>
    </xdr:from>
    <xdr:ext cx="137160" cy="137160"/>
    <xdr:grpSp>
      <xdr:nvGrpSpPr>
        <xdr:cNvPr id="215" name="Group 46">
          <a:extLst>
            <a:ext uri="{FF2B5EF4-FFF2-40B4-BE49-F238E27FC236}">
              <a16:creationId xmlns:a16="http://schemas.microsoft.com/office/drawing/2014/main" id="{238C5E9D-9E13-4946-B3F7-08CB8B4D261B}"/>
            </a:ext>
          </a:extLst>
        </xdr:cNvPr>
        <xdr:cNvGrpSpPr/>
      </xdr:nvGrpSpPr>
      <xdr:grpSpPr>
        <a:xfrm>
          <a:off x="8117516" y="3081915"/>
          <a:ext cx="137160" cy="137160"/>
          <a:chOff x="0" y="0"/>
          <a:chExt cx="137160" cy="137160"/>
        </a:xfrm>
      </xdr:grpSpPr>
      <xdr:sp macro="" textlink="">
        <xdr:nvSpPr>
          <xdr:cNvPr id="216" name="Shape 47">
            <a:extLst>
              <a:ext uri="{FF2B5EF4-FFF2-40B4-BE49-F238E27FC236}">
                <a16:creationId xmlns:a16="http://schemas.microsoft.com/office/drawing/2014/main" id="{C0C2676B-D9ED-4C54-A649-C5CA6DB3309D}"/>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17" name="Shape 48">
            <a:extLst>
              <a:ext uri="{FF2B5EF4-FFF2-40B4-BE49-F238E27FC236}">
                <a16:creationId xmlns:a16="http://schemas.microsoft.com/office/drawing/2014/main" id="{4A5FBD04-0E23-4A15-9D14-4C95C649C3EF}"/>
              </a:ext>
            </a:extLst>
          </xdr:cNvPr>
          <xdr:cNvSpPr/>
        </xdr:nvSpPr>
        <xdr:spPr>
          <a:xfrm>
            <a:off x="34759" y="45453"/>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grpSp>
    <xdr:clientData/>
  </xdr:oneCellAnchor>
  <xdr:oneCellAnchor>
    <xdr:from>
      <xdr:col>4</xdr:col>
      <xdr:colOff>122365</xdr:colOff>
      <xdr:row>12</xdr:row>
      <xdr:rowOff>62520</xdr:rowOff>
    </xdr:from>
    <xdr:ext cx="137126" cy="137128"/>
    <xdr:pic>
      <xdr:nvPicPr>
        <xdr:cNvPr id="218" name="image2.png">
          <a:extLst>
            <a:ext uri="{FF2B5EF4-FFF2-40B4-BE49-F238E27FC236}">
              <a16:creationId xmlns:a16="http://schemas.microsoft.com/office/drawing/2014/main" id="{976DC373-80F7-41E4-80A4-8D3C93789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41965" y="3936020"/>
          <a:ext cx="137126" cy="137128"/>
        </a:xfrm>
        <a:prstGeom prst="rect">
          <a:avLst/>
        </a:prstGeom>
      </xdr:spPr>
    </xdr:pic>
    <xdr:clientData/>
  </xdr:oneCellAnchor>
  <xdr:oneCellAnchor>
    <xdr:from>
      <xdr:col>3</xdr:col>
      <xdr:colOff>120308</xdr:colOff>
      <xdr:row>12</xdr:row>
      <xdr:rowOff>62520</xdr:rowOff>
    </xdr:from>
    <xdr:ext cx="137131" cy="137128"/>
    <xdr:pic>
      <xdr:nvPicPr>
        <xdr:cNvPr id="219" name="image3.png">
          <a:extLst>
            <a:ext uri="{FF2B5EF4-FFF2-40B4-BE49-F238E27FC236}">
              <a16:creationId xmlns:a16="http://schemas.microsoft.com/office/drawing/2014/main" id="{961043DC-1033-47CB-B8E4-FE639E5FF4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44458" y="3936020"/>
          <a:ext cx="137131" cy="137128"/>
        </a:xfrm>
        <a:prstGeom prst="rect">
          <a:avLst/>
        </a:prstGeom>
      </xdr:spPr>
    </xdr:pic>
    <xdr:clientData/>
  </xdr:oneCellAnchor>
  <xdr:oneCellAnchor>
    <xdr:from>
      <xdr:col>5</xdr:col>
      <xdr:colOff>141111</xdr:colOff>
      <xdr:row>12</xdr:row>
      <xdr:rowOff>62520</xdr:rowOff>
    </xdr:from>
    <xdr:ext cx="137126" cy="137128"/>
    <xdr:pic>
      <xdr:nvPicPr>
        <xdr:cNvPr id="220" name="image4.png">
          <a:extLst>
            <a:ext uri="{FF2B5EF4-FFF2-40B4-BE49-F238E27FC236}">
              <a16:creationId xmlns:a16="http://schemas.microsoft.com/office/drawing/2014/main" id="{43D6B384-989A-432B-A9DB-56A9D012924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237111" y="3936020"/>
          <a:ext cx="137126" cy="137128"/>
        </a:xfrm>
        <a:prstGeom prst="rect">
          <a:avLst/>
        </a:prstGeom>
      </xdr:spPr>
    </xdr:pic>
    <xdr:clientData/>
  </xdr:oneCellAnchor>
  <xdr:oneCellAnchor>
    <xdr:from>
      <xdr:col>6</xdr:col>
      <xdr:colOff>174106</xdr:colOff>
      <xdr:row>12</xdr:row>
      <xdr:rowOff>62520</xdr:rowOff>
    </xdr:from>
    <xdr:ext cx="137131" cy="137128"/>
    <xdr:pic>
      <xdr:nvPicPr>
        <xdr:cNvPr id="221" name="image5.png">
          <a:extLst>
            <a:ext uri="{FF2B5EF4-FFF2-40B4-BE49-F238E27FC236}">
              <a16:creationId xmlns:a16="http://schemas.microsoft.com/office/drawing/2014/main" id="{3EB3CE70-936E-4DCF-94C7-7BEF5062999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921106" y="3936020"/>
          <a:ext cx="137131" cy="137128"/>
        </a:xfrm>
        <a:prstGeom prst="rect">
          <a:avLst/>
        </a:prstGeom>
      </xdr:spPr>
    </xdr:pic>
    <xdr:clientData/>
  </xdr:oneCellAnchor>
  <xdr:oneCellAnchor>
    <xdr:from>
      <xdr:col>7</xdr:col>
      <xdr:colOff>191929</xdr:colOff>
      <xdr:row>12</xdr:row>
      <xdr:rowOff>62520</xdr:rowOff>
    </xdr:from>
    <xdr:ext cx="137126" cy="137128"/>
    <xdr:pic>
      <xdr:nvPicPr>
        <xdr:cNvPr id="222" name="image6.png">
          <a:extLst>
            <a:ext uri="{FF2B5EF4-FFF2-40B4-BE49-F238E27FC236}">
              <a16:creationId xmlns:a16="http://schemas.microsoft.com/office/drawing/2014/main" id="{5AB85911-E004-4781-A7D0-28F78E5C004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602629" y="3936020"/>
          <a:ext cx="137126" cy="137128"/>
        </a:xfrm>
        <a:prstGeom prst="rect">
          <a:avLst/>
        </a:prstGeom>
      </xdr:spPr>
    </xdr:pic>
    <xdr:clientData/>
  </xdr:oneCellAnchor>
  <xdr:oneCellAnchor>
    <xdr:from>
      <xdr:col>7</xdr:col>
      <xdr:colOff>191929</xdr:colOff>
      <xdr:row>9</xdr:row>
      <xdr:rowOff>61034</xdr:rowOff>
    </xdr:from>
    <xdr:ext cx="137126" cy="137128"/>
    <xdr:pic>
      <xdr:nvPicPr>
        <xdr:cNvPr id="223" name="image7.png">
          <a:extLst>
            <a:ext uri="{FF2B5EF4-FFF2-40B4-BE49-F238E27FC236}">
              <a16:creationId xmlns:a16="http://schemas.microsoft.com/office/drawing/2014/main" id="{94A47F4C-3B1A-4297-B8A8-A85E44F62DE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602629" y="3153484"/>
          <a:ext cx="137126" cy="137128"/>
        </a:xfrm>
        <a:prstGeom prst="rect">
          <a:avLst/>
        </a:prstGeom>
      </xdr:spPr>
    </xdr:pic>
    <xdr:clientData/>
  </xdr:oneCellAnchor>
  <xdr:oneCellAnchor>
    <xdr:from>
      <xdr:col>3</xdr:col>
      <xdr:colOff>120611</xdr:colOff>
      <xdr:row>9</xdr:row>
      <xdr:rowOff>64757</xdr:rowOff>
    </xdr:from>
    <xdr:ext cx="137160" cy="137160"/>
    <xdr:sp macro="" textlink="">
      <xdr:nvSpPr>
        <xdr:cNvPr id="224" name="Shape 55">
          <a:extLst>
            <a:ext uri="{FF2B5EF4-FFF2-40B4-BE49-F238E27FC236}">
              <a16:creationId xmlns:a16="http://schemas.microsoft.com/office/drawing/2014/main" id="{63E3133D-80A5-45C6-88E8-8D26F1AC1B63}"/>
            </a:ext>
          </a:extLst>
        </xdr:cNvPr>
        <xdr:cNvSpPr/>
      </xdr:nvSpPr>
      <xdr:spPr>
        <a:xfrm>
          <a:off x="2844761" y="3157207"/>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clientData/>
  </xdr:oneCellAnchor>
  <xdr:oneCellAnchor>
    <xdr:from>
      <xdr:col>4</xdr:col>
      <xdr:colOff>128219</xdr:colOff>
      <xdr:row>9</xdr:row>
      <xdr:rowOff>64757</xdr:rowOff>
    </xdr:from>
    <xdr:ext cx="137160" cy="137160"/>
    <xdr:grpSp>
      <xdr:nvGrpSpPr>
        <xdr:cNvPr id="225" name="Group 56">
          <a:extLst>
            <a:ext uri="{FF2B5EF4-FFF2-40B4-BE49-F238E27FC236}">
              <a16:creationId xmlns:a16="http://schemas.microsoft.com/office/drawing/2014/main" id="{E3C2A36A-95D7-4974-9A68-3AB2B2CFE31A}"/>
            </a:ext>
          </a:extLst>
        </xdr:cNvPr>
        <xdr:cNvGrpSpPr/>
      </xdr:nvGrpSpPr>
      <xdr:grpSpPr>
        <a:xfrm>
          <a:off x="3862813" y="3267538"/>
          <a:ext cx="137160" cy="137160"/>
          <a:chOff x="0" y="0"/>
          <a:chExt cx="137160" cy="137160"/>
        </a:xfrm>
      </xdr:grpSpPr>
      <xdr:sp macro="" textlink="">
        <xdr:nvSpPr>
          <xdr:cNvPr id="226" name="Shape 57">
            <a:extLst>
              <a:ext uri="{FF2B5EF4-FFF2-40B4-BE49-F238E27FC236}">
                <a16:creationId xmlns:a16="http://schemas.microsoft.com/office/drawing/2014/main" id="{38B27444-0493-4F36-B561-8FB7095CA43E}"/>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27" name="Shape 58">
            <a:extLst>
              <a:ext uri="{FF2B5EF4-FFF2-40B4-BE49-F238E27FC236}">
                <a16:creationId xmlns:a16="http://schemas.microsoft.com/office/drawing/2014/main" id="{CDE10907-CB90-4FEA-A45F-40153411AE23}"/>
              </a:ext>
            </a:extLst>
          </xdr:cNvPr>
          <xdr:cNvSpPr/>
        </xdr:nvSpPr>
        <xdr:spPr>
          <a:xfrm>
            <a:off x="34759" y="45465"/>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grpSp>
    <xdr:clientData/>
  </xdr:oneCellAnchor>
  <xdr:oneCellAnchor>
    <xdr:from>
      <xdr:col>5</xdr:col>
      <xdr:colOff>141109</xdr:colOff>
      <xdr:row>9</xdr:row>
      <xdr:rowOff>64757</xdr:rowOff>
    </xdr:from>
    <xdr:ext cx="137160" cy="137160"/>
    <xdr:sp macro="" textlink="">
      <xdr:nvSpPr>
        <xdr:cNvPr id="228" name="Shape 59">
          <a:extLst>
            <a:ext uri="{FF2B5EF4-FFF2-40B4-BE49-F238E27FC236}">
              <a16:creationId xmlns:a16="http://schemas.microsoft.com/office/drawing/2014/main" id="{4C95E77D-64B1-4940-A020-931B57E524A4}"/>
            </a:ext>
          </a:extLst>
        </xdr:cNvPr>
        <xdr:cNvSpPr/>
      </xdr:nvSpPr>
      <xdr:spPr>
        <a:xfrm>
          <a:off x="6237109" y="3157207"/>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clientData/>
  </xdr:oneCellAnchor>
  <xdr:oneCellAnchor>
    <xdr:from>
      <xdr:col>6</xdr:col>
      <xdr:colOff>174116</xdr:colOff>
      <xdr:row>9</xdr:row>
      <xdr:rowOff>64757</xdr:rowOff>
    </xdr:from>
    <xdr:ext cx="137160" cy="137160"/>
    <xdr:grpSp>
      <xdr:nvGrpSpPr>
        <xdr:cNvPr id="229" name="Group 60">
          <a:extLst>
            <a:ext uri="{FF2B5EF4-FFF2-40B4-BE49-F238E27FC236}">
              <a16:creationId xmlns:a16="http://schemas.microsoft.com/office/drawing/2014/main" id="{DFC14018-D6B4-4BEB-92EB-3078A1F1B2EC}"/>
            </a:ext>
          </a:extLst>
        </xdr:cNvPr>
        <xdr:cNvGrpSpPr/>
      </xdr:nvGrpSpPr>
      <xdr:grpSpPr>
        <a:xfrm>
          <a:off x="6488397" y="3267538"/>
          <a:ext cx="137160" cy="137160"/>
          <a:chOff x="0" y="0"/>
          <a:chExt cx="137160" cy="137160"/>
        </a:xfrm>
      </xdr:grpSpPr>
      <xdr:sp macro="" textlink="">
        <xdr:nvSpPr>
          <xdr:cNvPr id="230" name="Shape 61">
            <a:extLst>
              <a:ext uri="{FF2B5EF4-FFF2-40B4-BE49-F238E27FC236}">
                <a16:creationId xmlns:a16="http://schemas.microsoft.com/office/drawing/2014/main" id="{A5083AD9-C080-45BC-8CBD-B2BAFF86FF00}"/>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31" name="Shape 62">
            <a:extLst>
              <a:ext uri="{FF2B5EF4-FFF2-40B4-BE49-F238E27FC236}">
                <a16:creationId xmlns:a16="http://schemas.microsoft.com/office/drawing/2014/main" id="{AB2ED1BE-ED70-4EEC-89F5-E6F7A2C66F7D}"/>
              </a:ext>
            </a:extLst>
          </xdr:cNvPr>
          <xdr:cNvSpPr/>
        </xdr:nvSpPr>
        <xdr:spPr>
          <a:xfrm>
            <a:off x="34759" y="45465"/>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grpSp>
    <xdr:clientData/>
  </xdr:oneCellAnchor>
  <xdr:oneCellAnchor>
    <xdr:from>
      <xdr:col>3</xdr:col>
      <xdr:colOff>120308</xdr:colOff>
      <xdr:row>10</xdr:row>
      <xdr:rowOff>60412</xdr:rowOff>
    </xdr:from>
    <xdr:ext cx="137131" cy="137128"/>
    <xdr:pic>
      <xdr:nvPicPr>
        <xdr:cNvPr id="232" name="image8.png">
          <a:extLst>
            <a:ext uri="{FF2B5EF4-FFF2-40B4-BE49-F238E27FC236}">
              <a16:creationId xmlns:a16="http://schemas.microsoft.com/office/drawing/2014/main" id="{7B0BC6C9-22FC-4E1B-9ADD-C50E6A1095A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844458" y="3413212"/>
          <a:ext cx="137131" cy="137128"/>
        </a:xfrm>
        <a:prstGeom prst="rect">
          <a:avLst/>
        </a:prstGeom>
      </xdr:spPr>
    </xdr:pic>
    <xdr:clientData/>
  </xdr:oneCellAnchor>
  <xdr:oneCellAnchor>
    <xdr:from>
      <xdr:col>4</xdr:col>
      <xdr:colOff>122112</xdr:colOff>
      <xdr:row>10</xdr:row>
      <xdr:rowOff>60412</xdr:rowOff>
    </xdr:from>
    <xdr:ext cx="137126" cy="137128"/>
    <xdr:pic>
      <xdr:nvPicPr>
        <xdr:cNvPr id="233" name="image9.png">
          <a:extLst>
            <a:ext uri="{FF2B5EF4-FFF2-40B4-BE49-F238E27FC236}">
              <a16:creationId xmlns:a16="http://schemas.microsoft.com/office/drawing/2014/main" id="{9D95DDC5-5510-4FB1-8C62-1B1DCDD1AFB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541712" y="3413212"/>
          <a:ext cx="137126" cy="137128"/>
        </a:xfrm>
        <a:prstGeom prst="rect">
          <a:avLst/>
        </a:prstGeom>
      </xdr:spPr>
    </xdr:pic>
    <xdr:clientData/>
  </xdr:oneCellAnchor>
  <xdr:oneCellAnchor>
    <xdr:from>
      <xdr:col>5</xdr:col>
      <xdr:colOff>136632</xdr:colOff>
      <xdr:row>10</xdr:row>
      <xdr:rowOff>60412</xdr:rowOff>
    </xdr:from>
    <xdr:ext cx="137126" cy="137128"/>
    <xdr:pic>
      <xdr:nvPicPr>
        <xdr:cNvPr id="234" name="image10.png">
          <a:extLst>
            <a:ext uri="{FF2B5EF4-FFF2-40B4-BE49-F238E27FC236}">
              <a16:creationId xmlns:a16="http://schemas.microsoft.com/office/drawing/2014/main" id="{8A8B352A-9207-4AEA-9BB3-4A90AD5B114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232632" y="3413212"/>
          <a:ext cx="137126" cy="137128"/>
        </a:xfrm>
        <a:prstGeom prst="rect">
          <a:avLst/>
        </a:prstGeom>
      </xdr:spPr>
    </xdr:pic>
    <xdr:clientData/>
  </xdr:oneCellAnchor>
  <xdr:oneCellAnchor>
    <xdr:from>
      <xdr:col>4</xdr:col>
      <xdr:colOff>128225</xdr:colOff>
      <xdr:row>11</xdr:row>
      <xdr:rowOff>64628</xdr:rowOff>
    </xdr:from>
    <xdr:ext cx="137126" cy="137128"/>
    <xdr:pic>
      <xdr:nvPicPr>
        <xdr:cNvPr id="235" name="image11.png">
          <a:extLst>
            <a:ext uri="{FF2B5EF4-FFF2-40B4-BE49-F238E27FC236}">
              <a16:creationId xmlns:a16="http://schemas.microsoft.com/office/drawing/2014/main" id="{6B13E0BB-300A-49E0-B4AD-F979F375A95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547825" y="3677778"/>
          <a:ext cx="137126" cy="137128"/>
        </a:xfrm>
        <a:prstGeom prst="rect">
          <a:avLst/>
        </a:prstGeom>
      </xdr:spPr>
    </xdr:pic>
    <xdr:clientData/>
  </xdr:oneCellAnchor>
  <xdr:oneCellAnchor>
    <xdr:from>
      <xdr:col>5</xdr:col>
      <xdr:colOff>136632</xdr:colOff>
      <xdr:row>11</xdr:row>
      <xdr:rowOff>64628</xdr:rowOff>
    </xdr:from>
    <xdr:ext cx="137126" cy="137128"/>
    <xdr:pic>
      <xdr:nvPicPr>
        <xdr:cNvPr id="236" name="image12.png">
          <a:extLst>
            <a:ext uri="{FF2B5EF4-FFF2-40B4-BE49-F238E27FC236}">
              <a16:creationId xmlns:a16="http://schemas.microsoft.com/office/drawing/2014/main" id="{8055212C-6D82-40B4-A43B-B1CBD765CBA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232632" y="3677778"/>
          <a:ext cx="137126" cy="137128"/>
        </a:xfrm>
        <a:prstGeom prst="rect">
          <a:avLst/>
        </a:prstGeom>
      </xdr:spPr>
    </xdr:pic>
    <xdr:clientData/>
  </xdr:oneCellAnchor>
  <xdr:oneCellAnchor>
    <xdr:from>
      <xdr:col>3</xdr:col>
      <xdr:colOff>120626</xdr:colOff>
      <xdr:row>11</xdr:row>
      <xdr:rowOff>64628</xdr:rowOff>
    </xdr:from>
    <xdr:ext cx="137131" cy="137128"/>
    <xdr:pic>
      <xdr:nvPicPr>
        <xdr:cNvPr id="237" name="image13.png">
          <a:extLst>
            <a:ext uri="{FF2B5EF4-FFF2-40B4-BE49-F238E27FC236}">
              <a16:creationId xmlns:a16="http://schemas.microsoft.com/office/drawing/2014/main" id="{76AFAD4E-14F2-4308-A0FE-7974904D82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844776" y="3677778"/>
          <a:ext cx="137131" cy="137128"/>
        </a:xfrm>
        <a:prstGeom prst="rect">
          <a:avLst/>
        </a:prstGeom>
      </xdr:spPr>
    </xdr:pic>
    <xdr:clientData/>
  </xdr:oneCellAnchor>
  <xdr:oneCellAnchor>
    <xdr:from>
      <xdr:col>6</xdr:col>
      <xdr:colOff>174104</xdr:colOff>
      <xdr:row>11</xdr:row>
      <xdr:rowOff>64617</xdr:rowOff>
    </xdr:from>
    <xdr:ext cx="137160" cy="137160"/>
    <xdr:grpSp>
      <xdr:nvGrpSpPr>
        <xdr:cNvPr id="238" name="Group 69">
          <a:extLst>
            <a:ext uri="{FF2B5EF4-FFF2-40B4-BE49-F238E27FC236}">
              <a16:creationId xmlns:a16="http://schemas.microsoft.com/office/drawing/2014/main" id="{4FEBB475-4D6D-459F-8828-48F58818DA13}"/>
            </a:ext>
          </a:extLst>
        </xdr:cNvPr>
        <xdr:cNvGrpSpPr/>
      </xdr:nvGrpSpPr>
      <xdr:grpSpPr>
        <a:xfrm>
          <a:off x="6488385" y="3640461"/>
          <a:ext cx="137160" cy="137160"/>
          <a:chOff x="0" y="0"/>
          <a:chExt cx="137160" cy="137160"/>
        </a:xfrm>
      </xdr:grpSpPr>
      <xdr:sp macro="" textlink="">
        <xdr:nvSpPr>
          <xdr:cNvPr id="239" name="Shape 70">
            <a:extLst>
              <a:ext uri="{FF2B5EF4-FFF2-40B4-BE49-F238E27FC236}">
                <a16:creationId xmlns:a16="http://schemas.microsoft.com/office/drawing/2014/main" id="{CA30B0CB-9035-403E-AA00-028064C0FF3B}"/>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40" name="Shape 71">
            <a:extLst>
              <a:ext uri="{FF2B5EF4-FFF2-40B4-BE49-F238E27FC236}">
                <a16:creationId xmlns:a16="http://schemas.microsoft.com/office/drawing/2014/main" id="{E00FE206-AFF7-41F7-BD9C-C89DD3886B51}"/>
              </a:ext>
            </a:extLst>
          </xdr:cNvPr>
          <xdr:cNvSpPr/>
        </xdr:nvSpPr>
        <xdr:spPr>
          <a:xfrm>
            <a:off x="34772" y="45453"/>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grpSp>
    <xdr:clientData/>
  </xdr:oneCellAnchor>
  <xdr:oneCellAnchor>
    <xdr:from>
      <xdr:col>7</xdr:col>
      <xdr:colOff>191922</xdr:colOff>
      <xdr:row>11</xdr:row>
      <xdr:rowOff>64617</xdr:rowOff>
    </xdr:from>
    <xdr:ext cx="137160" cy="137160"/>
    <xdr:grpSp>
      <xdr:nvGrpSpPr>
        <xdr:cNvPr id="241" name="Group 72">
          <a:extLst>
            <a:ext uri="{FF2B5EF4-FFF2-40B4-BE49-F238E27FC236}">
              <a16:creationId xmlns:a16="http://schemas.microsoft.com/office/drawing/2014/main" id="{BBF1D5C4-4173-48F0-BFA0-3CF993F6DAA2}"/>
            </a:ext>
          </a:extLst>
        </xdr:cNvPr>
        <xdr:cNvGrpSpPr/>
      </xdr:nvGrpSpPr>
      <xdr:grpSpPr>
        <a:xfrm>
          <a:off x="8117516" y="3640461"/>
          <a:ext cx="137160" cy="137160"/>
          <a:chOff x="0" y="0"/>
          <a:chExt cx="137160" cy="137160"/>
        </a:xfrm>
      </xdr:grpSpPr>
      <xdr:sp macro="" textlink="">
        <xdr:nvSpPr>
          <xdr:cNvPr id="242" name="Shape 73">
            <a:extLst>
              <a:ext uri="{FF2B5EF4-FFF2-40B4-BE49-F238E27FC236}">
                <a16:creationId xmlns:a16="http://schemas.microsoft.com/office/drawing/2014/main" id="{4CEFB662-5A00-4ABC-AA5E-69E14E717C47}"/>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43" name="Shape 74">
            <a:extLst>
              <a:ext uri="{FF2B5EF4-FFF2-40B4-BE49-F238E27FC236}">
                <a16:creationId xmlns:a16="http://schemas.microsoft.com/office/drawing/2014/main" id="{AE1E0B94-151E-4B1D-8421-22340E5B501F}"/>
              </a:ext>
            </a:extLst>
          </xdr:cNvPr>
          <xdr:cNvSpPr/>
        </xdr:nvSpPr>
        <xdr:spPr>
          <a:xfrm>
            <a:off x="34759" y="45453"/>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grpSp>
    <xdr:clientData/>
  </xdr:oneCellAnchor>
  <xdr:oneCellAnchor>
    <xdr:from>
      <xdr:col>3</xdr:col>
      <xdr:colOff>120611</xdr:colOff>
      <xdr:row>5</xdr:row>
      <xdr:rowOff>187197</xdr:rowOff>
    </xdr:from>
    <xdr:ext cx="137160" cy="137160"/>
    <xdr:sp macro="" textlink="">
      <xdr:nvSpPr>
        <xdr:cNvPr id="244" name="Shape 75">
          <a:extLst>
            <a:ext uri="{FF2B5EF4-FFF2-40B4-BE49-F238E27FC236}">
              <a16:creationId xmlns:a16="http://schemas.microsoft.com/office/drawing/2014/main" id="{71F13C07-2E77-4876-99C8-3B6EDAB3202C}"/>
            </a:ext>
          </a:extLst>
        </xdr:cNvPr>
        <xdr:cNvSpPr/>
      </xdr:nvSpPr>
      <xdr:spPr>
        <a:xfrm>
          <a:off x="2844761" y="2111247"/>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clientData/>
  </xdr:oneCellAnchor>
  <xdr:oneCellAnchor>
    <xdr:from>
      <xdr:col>4</xdr:col>
      <xdr:colOff>128219</xdr:colOff>
      <xdr:row>6</xdr:row>
      <xdr:rowOff>3047</xdr:rowOff>
    </xdr:from>
    <xdr:ext cx="137160" cy="137160"/>
    <xdr:grpSp>
      <xdr:nvGrpSpPr>
        <xdr:cNvPr id="245" name="Group 76">
          <a:extLst>
            <a:ext uri="{FF2B5EF4-FFF2-40B4-BE49-F238E27FC236}">
              <a16:creationId xmlns:a16="http://schemas.microsoft.com/office/drawing/2014/main" id="{BD4404C8-7EB2-4ACD-A8CD-3F5926E2AD11}"/>
            </a:ext>
          </a:extLst>
        </xdr:cNvPr>
        <xdr:cNvGrpSpPr/>
      </xdr:nvGrpSpPr>
      <xdr:grpSpPr>
        <a:xfrm>
          <a:off x="3862813" y="2594641"/>
          <a:ext cx="137160" cy="137160"/>
          <a:chOff x="0" y="0"/>
          <a:chExt cx="137160" cy="137160"/>
        </a:xfrm>
      </xdr:grpSpPr>
      <xdr:sp macro="" textlink="">
        <xdr:nvSpPr>
          <xdr:cNvPr id="246" name="Shape 77">
            <a:extLst>
              <a:ext uri="{FF2B5EF4-FFF2-40B4-BE49-F238E27FC236}">
                <a16:creationId xmlns:a16="http://schemas.microsoft.com/office/drawing/2014/main" id="{07E2E0AF-2661-49D1-BF3F-26386343526E}"/>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47" name="Shape 78">
            <a:extLst>
              <a:ext uri="{FF2B5EF4-FFF2-40B4-BE49-F238E27FC236}">
                <a16:creationId xmlns:a16="http://schemas.microsoft.com/office/drawing/2014/main" id="{8A683CA7-C201-41DB-96B7-B2BF8DC20E9B}"/>
              </a:ext>
            </a:extLst>
          </xdr:cNvPr>
          <xdr:cNvSpPr/>
        </xdr:nvSpPr>
        <xdr:spPr>
          <a:xfrm>
            <a:off x="34759" y="45453"/>
            <a:ext cx="63500" cy="46990"/>
          </a:xfrm>
          <a:custGeom>
            <a:avLst/>
            <a:gdLst/>
            <a:ahLst/>
            <a:cxnLst/>
            <a:rect l="0" t="0" r="0" b="0"/>
            <a:pathLst>
              <a:path w="63500" h="46990">
                <a:moveTo>
                  <a:pt x="0" y="32588"/>
                </a:moveTo>
                <a:lnTo>
                  <a:pt x="12560" y="45135"/>
                </a:lnTo>
                <a:lnTo>
                  <a:pt x="13995" y="46583"/>
                </a:lnTo>
                <a:lnTo>
                  <a:pt x="16344" y="46583"/>
                </a:lnTo>
                <a:lnTo>
                  <a:pt x="17805" y="45135"/>
                </a:lnTo>
                <a:lnTo>
                  <a:pt x="62928" y="0"/>
                </a:lnTo>
              </a:path>
            </a:pathLst>
          </a:custGeom>
          <a:ln w="20942">
            <a:solidFill>
              <a:srgbClr val="FFFFFF"/>
            </a:solidFill>
          </a:ln>
        </xdr:spPr>
      </xdr:sp>
    </xdr:grpSp>
    <xdr:clientData/>
  </xdr:oneCellAnchor>
  <xdr:oneCellAnchor>
    <xdr:from>
      <xdr:col>5</xdr:col>
      <xdr:colOff>141109</xdr:colOff>
      <xdr:row>5</xdr:row>
      <xdr:rowOff>187197</xdr:rowOff>
    </xdr:from>
    <xdr:ext cx="137160" cy="137160"/>
    <xdr:sp macro="" textlink="">
      <xdr:nvSpPr>
        <xdr:cNvPr id="248" name="Shape 79">
          <a:extLst>
            <a:ext uri="{FF2B5EF4-FFF2-40B4-BE49-F238E27FC236}">
              <a16:creationId xmlns:a16="http://schemas.microsoft.com/office/drawing/2014/main" id="{90945F9F-7D98-4262-BC9A-EF6E93E695D7}"/>
            </a:ext>
          </a:extLst>
        </xdr:cNvPr>
        <xdr:cNvSpPr/>
      </xdr:nvSpPr>
      <xdr:spPr>
        <a:xfrm>
          <a:off x="6237109" y="2111247"/>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clientData/>
  </xdr:oneCellAnchor>
  <xdr:oneCellAnchor>
    <xdr:from>
      <xdr:col>6</xdr:col>
      <xdr:colOff>174116</xdr:colOff>
      <xdr:row>6</xdr:row>
      <xdr:rowOff>3047</xdr:rowOff>
    </xdr:from>
    <xdr:ext cx="137160" cy="137160"/>
    <xdr:grpSp>
      <xdr:nvGrpSpPr>
        <xdr:cNvPr id="249" name="Group 80">
          <a:extLst>
            <a:ext uri="{FF2B5EF4-FFF2-40B4-BE49-F238E27FC236}">
              <a16:creationId xmlns:a16="http://schemas.microsoft.com/office/drawing/2014/main" id="{BC523CE8-D0C0-4A3D-96E2-C19358852313}"/>
            </a:ext>
          </a:extLst>
        </xdr:cNvPr>
        <xdr:cNvGrpSpPr/>
      </xdr:nvGrpSpPr>
      <xdr:grpSpPr>
        <a:xfrm>
          <a:off x="6488397" y="2594641"/>
          <a:ext cx="137160" cy="137160"/>
          <a:chOff x="0" y="0"/>
          <a:chExt cx="137160" cy="137160"/>
        </a:xfrm>
      </xdr:grpSpPr>
      <xdr:sp macro="" textlink="">
        <xdr:nvSpPr>
          <xdr:cNvPr id="250" name="Shape 81">
            <a:extLst>
              <a:ext uri="{FF2B5EF4-FFF2-40B4-BE49-F238E27FC236}">
                <a16:creationId xmlns:a16="http://schemas.microsoft.com/office/drawing/2014/main" id="{53CB84FF-F574-4A0C-B420-0DE58DEDB5B3}"/>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51" name="Shape 82">
            <a:extLst>
              <a:ext uri="{FF2B5EF4-FFF2-40B4-BE49-F238E27FC236}">
                <a16:creationId xmlns:a16="http://schemas.microsoft.com/office/drawing/2014/main" id="{E67BAF9C-ECE1-451F-94D6-20DA773F0B00}"/>
              </a:ext>
            </a:extLst>
          </xdr:cNvPr>
          <xdr:cNvSpPr/>
        </xdr:nvSpPr>
        <xdr:spPr>
          <a:xfrm>
            <a:off x="34759" y="45453"/>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grpSp>
    <xdr:clientData/>
  </xdr:oneCellAnchor>
  <xdr:oneCellAnchor>
    <xdr:from>
      <xdr:col>7</xdr:col>
      <xdr:colOff>189102</xdr:colOff>
      <xdr:row>6</xdr:row>
      <xdr:rowOff>3047</xdr:rowOff>
    </xdr:from>
    <xdr:ext cx="137160" cy="137160"/>
    <xdr:grpSp>
      <xdr:nvGrpSpPr>
        <xdr:cNvPr id="252" name="Group 83">
          <a:extLst>
            <a:ext uri="{FF2B5EF4-FFF2-40B4-BE49-F238E27FC236}">
              <a16:creationId xmlns:a16="http://schemas.microsoft.com/office/drawing/2014/main" id="{C7BA9C06-5B41-467E-BD92-631C7A6302CA}"/>
            </a:ext>
          </a:extLst>
        </xdr:cNvPr>
        <xdr:cNvGrpSpPr/>
      </xdr:nvGrpSpPr>
      <xdr:grpSpPr>
        <a:xfrm>
          <a:off x="8114696" y="2594641"/>
          <a:ext cx="137160" cy="137160"/>
          <a:chOff x="0" y="0"/>
          <a:chExt cx="137160" cy="137160"/>
        </a:xfrm>
      </xdr:grpSpPr>
      <xdr:sp macro="" textlink="">
        <xdr:nvSpPr>
          <xdr:cNvPr id="253" name="Shape 84">
            <a:extLst>
              <a:ext uri="{FF2B5EF4-FFF2-40B4-BE49-F238E27FC236}">
                <a16:creationId xmlns:a16="http://schemas.microsoft.com/office/drawing/2014/main" id="{AD63C539-C0F9-4F04-A349-C7313FD91ABB}"/>
              </a:ext>
            </a:extLst>
          </xdr:cNvPr>
          <xdr:cNvSpPr/>
        </xdr:nvSpPr>
        <xdr:spPr>
          <a:xfrm>
            <a:off x="0" y="0"/>
            <a:ext cx="137160" cy="137160"/>
          </a:xfrm>
          <a:custGeom>
            <a:avLst/>
            <a:gdLst/>
            <a:ahLst/>
            <a:cxnLst/>
            <a:rect l="0" t="0" r="0" b="0"/>
            <a:pathLst>
              <a:path w="137160" h="137160">
                <a:moveTo>
                  <a:pt x="68567" y="0"/>
                </a:moveTo>
                <a:lnTo>
                  <a:pt x="41882" y="5387"/>
                </a:lnTo>
                <a:lnTo>
                  <a:pt x="20086" y="20081"/>
                </a:lnTo>
                <a:lnTo>
                  <a:pt x="5389" y="41876"/>
                </a:lnTo>
                <a:lnTo>
                  <a:pt x="0" y="68567"/>
                </a:lnTo>
                <a:lnTo>
                  <a:pt x="5389" y="95259"/>
                </a:lnTo>
                <a:lnTo>
                  <a:pt x="20086" y="117059"/>
                </a:lnTo>
                <a:lnTo>
                  <a:pt x="41882" y="131757"/>
                </a:lnTo>
                <a:lnTo>
                  <a:pt x="68567" y="137147"/>
                </a:lnTo>
                <a:lnTo>
                  <a:pt x="95257" y="131757"/>
                </a:lnTo>
                <a:lnTo>
                  <a:pt x="117052" y="117059"/>
                </a:lnTo>
                <a:lnTo>
                  <a:pt x="131746" y="95259"/>
                </a:lnTo>
                <a:lnTo>
                  <a:pt x="137134" y="68567"/>
                </a:lnTo>
                <a:lnTo>
                  <a:pt x="131746" y="41876"/>
                </a:lnTo>
                <a:lnTo>
                  <a:pt x="117052" y="20081"/>
                </a:lnTo>
                <a:lnTo>
                  <a:pt x="95257" y="5387"/>
                </a:lnTo>
                <a:lnTo>
                  <a:pt x="68567" y="0"/>
                </a:lnTo>
                <a:close/>
              </a:path>
            </a:pathLst>
          </a:custGeom>
          <a:solidFill>
            <a:srgbClr val="55A23B"/>
          </a:solidFill>
        </xdr:spPr>
      </xdr:sp>
      <xdr:sp macro="" textlink="">
        <xdr:nvSpPr>
          <xdr:cNvPr id="254" name="Shape 85">
            <a:extLst>
              <a:ext uri="{FF2B5EF4-FFF2-40B4-BE49-F238E27FC236}">
                <a16:creationId xmlns:a16="http://schemas.microsoft.com/office/drawing/2014/main" id="{666579DC-8A5F-4C6B-A85F-47B2FE86B8E1}"/>
              </a:ext>
            </a:extLst>
          </xdr:cNvPr>
          <xdr:cNvSpPr/>
        </xdr:nvSpPr>
        <xdr:spPr>
          <a:xfrm>
            <a:off x="34759" y="45453"/>
            <a:ext cx="63500" cy="46990"/>
          </a:xfrm>
          <a:custGeom>
            <a:avLst/>
            <a:gdLst/>
            <a:ahLst/>
            <a:cxnLst/>
            <a:rect l="0" t="0" r="0" b="0"/>
            <a:pathLst>
              <a:path w="63500" h="46990">
                <a:moveTo>
                  <a:pt x="0" y="32588"/>
                </a:moveTo>
                <a:lnTo>
                  <a:pt x="12560" y="45135"/>
                </a:lnTo>
                <a:lnTo>
                  <a:pt x="13995" y="46583"/>
                </a:lnTo>
                <a:lnTo>
                  <a:pt x="16344" y="46583"/>
                </a:lnTo>
                <a:lnTo>
                  <a:pt x="17792" y="45135"/>
                </a:lnTo>
                <a:lnTo>
                  <a:pt x="62928" y="0"/>
                </a:lnTo>
              </a:path>
            </a:pathLst>
          </a:custGeom>
          <a:ln w="20942">
            <a:solidFill>
              <a:srgbClr val="FFFFFF"/>
            </a:solidFill>
          </a:ln>
        </xdr:spPr>
      </xdr:sp>
    </xdr:grpSp>
    <xdr:clientData/>
  </xdr:oneCellAnchor>
  <xdr:oneCellAnchor>
    <xdr:from>
      <xdr:col>6</xdr:col>
      <xdr:colOff>174123</xdr:colOff>
      <xdr:row>10</xdr:row>
      <xdr:rowOff>60412</xdr:rowOff>
    </xdr:from>
    <xdr:ext cx="137126" cy="137128"/>
    <xdr:pic>
      <xdr:nvPicPr>
        <xdr:cNvPr id="255" name="image14.png">
          <a:extLst>
            <a:ext uri="{FF2B5EF4-FFF2-40B4-BE49-F238E27FC236}">
              <a16:creationId xmlns:a16="http://schemas.microsoft.com/office/drawing/2014/main" id="{13165412-1A59-4DA3-ADB2-7234888C490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7921123" y="3413212"/>
          <a:ext cx="137126" cy="137128"/>
        </a:xfrm>
        <a:prstGeom prst="rect">
          <a:avLst/>
        </a:prstGeom>
      </xdr:spPr>
    </xdr:pic>
    <xdr:clientData/>
  </xdr:oneCellAnchor>
  <xdr:oneCellAnchor>
    <xdr:from>
      <xdr:col>7</xdr:col>
      <xdr:colOff>191929</xdr:colOff>
      <xdr:row>10</xdr:row>
      <xdr:rowOff>60412</xdr:rowOff>
    </xdr:from>
    <xdr:ext cx="137126" cy="137128"/>
    <xdr:pic>
      <xdr:nvPicPr>
        <xdr:cNvPr id="256" name="image15.png">
          <a:extLst>
            <a:ext uri="{FF2B5EF4-FFF2-40B4-BE49-F238E27FC236}">
              <a16:creationId xmlns:a16="http://schemas.microsoft.com/office/drawing/2014/main" id="{C6792FEB-B156-40AE-B51B-60C96DEAED5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02629" y="3413212"/>
          <a:ext cx="137126" cy="13712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forms.zohopublic.com/ifzafjr/form/DirectImmigrationServiceLettersRequest/formperma/3V9meLRrqk2eyxIZYDHrvJFARsw2QKyF1QiqE0JGYew"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26B80-9747-4206-8E0A-F9DBE300F756}">
  <sheetPr>
    <tabColor rgb="FFFFFF00"/>
  </sheetPr>
  <dimension ref="A1:E10"/>
  <sheetViews>
    <sheetView topLeftCell="B1" workbookViewId="0">
      <selection activeCell="D14" sqref="D14"/>
    </sheetView>
  </sheetViews>
  <sheetFormatPr defaultColWidth="8.6328125" defaultRowHeight="14.5" x14ac:dyDescent="0.35"/>
  <cols>
    <col min="1" max="1" width="19.36328125" style="107" customWidth="1"/>
    <col min="2" max="4" width="17.54296875" style="107" customWidth="1"/>
    <col min="5" max="5" width="17.54296875" style="5" customWidth="1"/>
    <col min="6" max="16384" width="8.6328125" style="5"/>
  </cols>
  <sheetData>
    <row r="1" spans="1:5" ht="24" customHeight="1" x14ac:dyDescent="0.45">
      <c r="A1" s="162" t="s">
        <v>251</v>
      </c>
      <c r="B1" s="162"/>
      <c r="C1" s="162"/>
      <c r="D1" s="162"/>
      <c r="E1" s="162"/>
    </row>
    <row r="2" spans="1:5" ht="24" customHeight="1" x14ac:dyDescent="0.35">
      <c r="A2" s="136"/>
      <c r="B2" s="109" t="s">
        <v>252</v>
      </c>
      <c r="C2" s="109" t="s">
        <v>253</v>
      </c>
      <c r="D2" s="109" t="s">
        <v>254</v>
      </c>
      <c r="E2" s="108"/>
    </row>
    <row r="3" spans="1:5" ht="24" customHeight="1" x14ac:dyDescent="0.35">
      <c r="A3" s="141" t="s">
        <v>280</v>
      </c>
      <c r="B3" s="110">
        <v>4888</v>
      </c>
      <c r="C3" s="110">
        <v>12888</v>
      </c>
      <c r="D3" s="110">
        <v>17888</v>
      </c>
      <c r="E3" s="108"/>
    </row>
    <row r="4" spans="1:5" ht="24" customHeight="1" x14ac:dyDescent="0.35">
      <c r="A4" s="137" t="s">
        <v>55</v>
      </c>
      <c r="B4" s="110">
        <v>5555</v>
      </c>
      <c r="C4" s="110">
        <v>13131</v>
      </c>
      <c r="D4" s="110">
        <v>17171</v>
      </c>
      <c r="E4" s="108"/>
    </row>
    <row r="5" spans="1:5" ht="24" customHeight="1" x14ac:dyDescent="0.35">
      <c r="A5" s="138" t="s">
        <v>255</v>
      </c>
      <c r="B5" s="110">
        <v>5750</v>
      </c>
      <c r="C5" s="110">
        <v>7350</v>
      </c>
      <c r="D5" s="110">
        <v>8950</v>
      </c>
      <c r="E5" s="108"/>
    </row>
    <row r="6" spans="1:5" ht="24" customHeight="1" x14ac:dyDescent="0.35">
      <c r="A6" s="139" t="s">
        <v>219</v>
      </c>
      <c r="B6" s="110">
        <v>6000</v>
      </c>
      <c r="C6" s="110">
        <v>12000</v>
      </c>
      <c r="D6" s="110">
        <v>18000</v>
      </c>
      <c r="E6" s="108"/>
    </row>
    <row r="7" spans="1:5" ht="24" customHeight="1" x14ac:dyDescent="0.35">
      <c r="A7" s="140" t="s">
        <v>256</v>
      </c>
      <c r="B7" s="110">
        <v>12520</v>
      </c>
      <c r="C7" s="110">
        <v>16520</v>
      </c>
      <c r="D7" s="110">
        <v>20370</v>
      </c>
      <c r="E7" s="108"/>
    </row>
    <row r="8" spans="1:5" ht="24" customHeight="1" x14ac:dyDescent="0.35"/>
    <row r="9" spans="1:5" ht="24" customHeight="1" x14ac:dyDescent="0.35"/>
    <row r="10" spans="1:5" ht="24" customHeight="1" x14ac:dyDescent="0.35"/>
  </sheetData>
  <mergeCells count="1">
    <mergeCell ref="A1:E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34809-B77B-4A04-AB04-F04F9C32090F}">
  <dimension ref="A2:F7"/>
  <sheetViews>
    <sheetView zoomScaleNormal="100" workbookViewId="0">
      <selection activeCell="B3" sqref="B3"/>
    </sheetView>
  </sheetViews>
  <sheetFormatPr defaultRowHeight="14.5" x14ac:dyDescent="0.35"/>
  <cols>
    <col min="1" max="1" width="9.08984375" style="39"/>
    <col min="2" max="2" width="22.6328125" style="107" customWidth="1"/>
    <col min="3" max="3" width="20.453125" style="39" customWidth="1"/>
    <col min="4" max="4" width="19.453125" style="39" customWidth="1"/>
    <col min="5" max="5" width="26.90625" customWidth="1"/>
    <col min="6" max="6" width="26.08984375" customWidth="1"/>
  </cols>
  <sheetData>
    <row r="2" spans="1:6" x14ac:dyDescent="0.35">
      <c r="A2" s="39" t="s">
        <v>21</v>
      </c>
      <c r="B2" s="156" t="s">
        <v>351</v>
      </c>
      <c r="C2" s="156" t="s">
        <v>352</v>
      </c>
      <c r="D2" s="156" t="s">
        <v>353</v>
      </c>
      <c r="E2" s="156" t="s">
        <v>354</v>
      </c>
      <c r="F2" s="156" t="s">
        <v>355</v>
      </c>
    </row>
    <row r="3" spans="1:6" ht="101.5" x14ac:dyDescent="0.35">
      <c r="A3" s="39">
        <v>1</v>
      </c>
      <c r="B3" s="156" t="s">
        <v>356</v>
      </c>
      <c r="C3" s="157" t="s">
        <v>357</v>
      </c>
      <c r="D3" s="157" t="s">
        <v>358</v>
      </c>
      <c r="E3" s="158" t="s">
        <v>359</v>
      </c>
      <c r="F3" s="158" t="s">
        <v>360</v>
      </c>
    </row>
    <row r="4" spans="1:6" ht="43.5" x14ac:dyDescent="0.35">
      <c r="A4" s="39">
        <v>2</v>
      </c>
      <c r="B4" s="156" t="s">
        <v>361</v>
      </c>
      <c r="C4" s="157" t="s">
        <v>362</v>
      </c>
      <c r="D4" s="157" t="s">
        <v>363</v>
      </c>
      <c r="E4" s="158" t="s">
        <v>364</v>
      </c>
    </row>
    <row r="5" spans="1:6" ht="130.5" x14ac:dyDescent="0.35">
      <c r="A5" s="39">
        <v>3</v>
      </c>
      <c r="B5" s="107" t="s">
        <v>365</v>
      </c>
      <c r="C5" s="157" t="s">
        <v>366</v>
      </c>
      <c r="D5" s="157" t="s">
        <v>358</v>
      </c>
      <c r="E5" s="157" t="s">
        <v>367</v>
      </c>
      <c r="F5" s="158" t="s">
        <v>368</v>
      </c>
    </row>
    <row r="6" spans="1:6" ht="58" x14ac:dyDescent="0.35">
      <c r="A6" s="39">
        <v>4</v>
      </c>
      <c r="B6" s="107" t="s">
        <v>369</v>
      </c>
      <c r="C6" s="157" t="s">
        <v>370</v>
      </c>
    </row>
    <row r="7" spans="1:6" ht="377" x14ac:dyDescent="0.35">
      <c r="A7" s="39">
        <v>5</v>
      </c>
      <c r="B7" s="107" t="s">
        <v>371</v>
      </c>
      <c r="C7" s="157" t="s">
        <v>372</v>
      </c>
      <c r="F7" s="153" t="s">
        <v>373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86BC-FA51-4E81-AAA8-5AD87BAB0994}">
  <sheetPr>
    <tabColor theme="1" tint="4.9989318521683403E-2"/>
  </sheetPr>
  <dimension ref="A1:P40"/>
  <sheetViews>
    <sheetView topLeftCell="C1" zoomScale="96" zoomScaleNormal="96" workbookViewId="0">
      <selection activeCell="F11" sqref="F11:H14"/>
    </sheetView>
  </sheetViews>
  <sheetFormatPr defaultRowHeight="14.5" x14ac:dyDescent="0.35"/>
  <cols>
    <col min="2" max="2" width="11.90625" customWidth="1"/>
    <col min="6" max="6" width="11.90625" customWidth="1"/>
    <col min="8" max="8" width="12.453125" customWidth="1"/>
    <col min="9" max="9" width="11.453125" customWidth="1"/>
    <col min="11" max="11" width="11.453125" customWidth="1"/>
    <col min="14" max="14" width="20.90625" customWidth="1"/>
    <col min="16" max="16" width="9.54296875" bestFit="1" customWidth="1"/>
  </cols>
  <sheetData>
    <row r="1" spans="1:16" ht="24" thickBot="1" x14ac:dyDescent="0.6">
      <c r="A1" s="163" t="s">
        <v>55</v>
      </c>
      <c r="B1" s="163"/>
    </row>
    <row r="2" spans="1:16" ht="14.4" customHeight="1" x14ac:dyDescent="0.35">
      <c r="A2" s="181" t="s">
        <v>74</v>
      </c>
      <c r="B2" s="185" t="s">
        <v>56</v>
      </c>
      <c r="C2" s="185"/>
      <c r="D2" s="185"/>
      <c r="E2" s="5"/>
      <c r="F2" s="185" t="s">
        <v>60</v>
      </c>
      <c r="G2" s="185"/>
      <c r="H2" s="185"/>
      <c r="I2" s="186" t="s">
        <v>63</v>
      </c>
      <c r="J2" s="186"/>
      <c r="K2" s="186"/>
      <c r="L2" s="5"/>
      <c r="M2" s="186" t="s">
        <v>64</v>
      </c>
      <c r="N2" s="186"/>
    </row>
    <row r="3" spans="1:16" ht="21" customHeight="1" x14ac:dyDescent="0.35">
      <c r="A3" s="182"/>
      <c r="B3" s="185"/>
      <c r="C3" s="185"/>
      <c r="D3" s="185"/>
      <c r="E3" s="5"/>
      <c r="F3" s="185"/>
      <c r="G3" s="185"/>
      <c r="H3" s="185"/>
      <c r="I3" s="186"/>
      <c r="J3" s="186"/>
      <c r="K3" s="186"/>
      <c r="L3" s="5"/>
      <c r="M3" s="186"/>
      <c r="N3" s="186"/>
    </row>
    <row r="4" spans="1:16" x14ac:dyDescent="0.35">
      <c r="A4" s="182"/>
      <c r="B4" s="6" t="s">
        <v>57</v>
      </c>
      <c r="C4" s="6" t="s">
        <v>58</v>
      </c>
      <c r="D4" s="6" t="s">
        <v>59</v>
      </c>
      <c r="E4" s="4"/>
      <c r="F4" s="6" t="s">
        <v>57</v>
      </c>
      <c r="G4" s="6" t="s">
        <v>58</v>
      </c>
      <c r="H4" s="6" t="s">
        <v>59</v>
      </c>
      <c r="I4" s="6" t="s">
        <v>57</v>
      </c>
      <c r="J4" s="6" t="s">
        <v>58</v>
      </c>
      <c r="K4" s="6" t="s">
        <v>59</v>
      </c>
      <c r="L4" s="4"/>
      <c r="M4" s="6" t="s">
        <v>57</v>
      </c>
      <c r="N4" s="6" t="s">
        <v>59</v>
      </c>
    </row>
    <row r="5" spans="1:16" x14ac:dyDescent="0.35">
      <c r="A5" s="182"/>
      <c r="B5" s="2" t="s">
        <v>61</v>
      </c>
      <c r="C5" s="3">
        <v>0</v>
      </c>
      <c r="D5" s="7">
        <v>6000</v>
      </c>
      <c r="F5" s="3" t="s">
        <v>68</v>
      </c>
      <c r="G5" s="3">
        <v>0</v>
      </c>
      <c r="H5" s="7">
        <v>5555</v>
      </c>
      <c r="I5" s="3" t="s">
        <v>68</v>
      </c>
      <c r="J5" s="3">
        <v>0</v>
      </c>
      <c r="K5" s="8">
        <v>7777</v>
      </c>
      <c r="M5" s="3" t="s">
        <v>69</v>
      </c>
      <c r="N5" s="7">
        <v>21750</v>
      </c>
    </row>
    <row r="6" spans="1:16" x14ac:dyDescent="0.35">
      <c r="A6" s="182"/>
      <c r="B6" s="2" t="s">
        <v>62</v>
      </c>
      <c r="C6" s="3">
        <v>1</v>
      </c>
      <c r="D6" s="7">
        <v>12121</v>
      </c>
      <c r="F6" s="3" t="s">
        <v>69</v>
      </c>
      <c r="G6" s="3">
        <v>1</v>
      </c>
      <c r="H6" s="7">
        <v>13131</v>
      </c>
      <c r="I6" s="3" t="s">
        <v>69</v>
      </c>
      <c r="J6" s="3">
        <v>1</v>
      </c>
      <c r="K6" s="8">
        <v>13431</v>
      </c>
      <c r="M6" s="3" t="s">
        <v>70</v>
      </c>
      <c r="N6" s="7">
        <v>24750</v>
      </c>
      <c r="P6" t="s">
        <v>239</v>
      </c>
    </row>
    <row r="7" spans="1:16" x14ac:dyDescent="0.35">
      <c r="A7" s="182"/>
      <c r="B7" s="178" t="s">
        <v>73</v>
      </c>
      <c r="C7" s="179"/>
      <c r="D7" s="179"/>
      <c r="F7" s="3" t="s">
        <v>70</v>
      </c>
      <c r="G7" s="3">
        <v>2</v>
      </c>
      <c r="H7" s="7">
        <v>17171</v>
      </c>
      <c r="I7" s="3" t="s">
        <v>70</v>
      </c>
      <c r="J7" s="3">
        <v>2</v>
      </c>
      <c r="K7" s="7">
        <v>17171</v>
      </c>
      <c r="M7" s="3" t="s">
        <v>71</v>
      </c>
      <c r="N7" s="7">
        <v>29750</v>
      </c>
      <c r="P7" s="96">
        <f>+H7/3.671</f>
        <v>4677.4720784527381</v>
      </c>
    </row>
    <row r="8" spans="1:16" x14ac:dyDescent="0.35">
      <c r="A8" s="182"/>
      <c r="B8" s="179"/>
      <c r="C8" s="179"/>
      <c r="D8" s="179"/>
      <c r="F8" s="3" t="s">
        <v>71</v>
      </c>
      <c r="G8" s="3">
        <v>3</v>
      </c>
      <c r="H8" s="7">
        <v>21212</v>
      </c>
      <c r="I8" s="3" t="s">
        <v>71</v>
      </c>
      <c r="J8" s="3">
        <v>3</v>
      </c>
      <c r="K8" s="7">
        <v>21212</v>
      </c>
      <c r="M8" s="3" t="s">
        <v>72</v>
      </c>
      <c r="N8" s="7">
        <v>35500</v>
      </c>
    </row>
    <row r="9" spans="1:16" x14ac:dyDescent="0.35">
      <c r="A9" s="182"/>
      <c r="B9" s="179"/>
      <c r="C9" s="179"/>
      <c r="D9" s="179"/>
      <c r="F9" s="3" t="s">
        <v>72</v>
      </c>
      <c r="G9" s="3">
        <v>4</v>
      </c>
      <c r="H9" s="7">
        <v>24242</v>
      </c>
      <c r="I9" s="3" t="s">
        <v>72</v>
      </c>
      <c r="J9" s="3">
        <v>4</v>
      </c>
      <c r="K9" s="7">
        <v>24242</v>
      </c>
      <c r="M9" s="174" t="s">
        <v>65</v>
      </c>
      <c r="N9" s="174"/>
    </row>
    <row r="10" spans="1:16" x14ac:dyDescent="0.35">
      <c r="A10" s="182"/>
      <c r="B10" s="179"/>
      <c r="C10" s="179"/>
      <c r="D10" s="179"/>
      <c r="F10" s="2"/>
      <c r="G10" s="3"/>
      <c r="H10" s="2"/>
      <c r="I10" s="2"/>
      <c r="J10" s="3"/>
      <c r="K10" s="2"/>
      <c r="M10" s="174"/>
      <c r="N10" s="174"/>
    </row>
    <row r="11" spans="1:16" ht="14.4" customHeight="1" x14ac:dyDescent="0.35">
      <c r="A11" s="182"/>
      <c r="B11" s="179"/>
      <c r="C11" s="179"/>
      <c r="D11" s="179"/>
      <c r="F11" s="164" t="s">
        <v>67</v>
      </c>
      <c r="G11" s="164"/>
      <c r="H11" s="164"/>
      <c r="I11" s="164" t="s">
        <v>66</v>
      </c>
      <c r="J11" s="164"/>
      <c r="K11" s="164"/>
      <c r="M11" s="174"/>
      <c r="N11" s="174"/>
    </row>
    <row r="12" spans="1:16" x14ac:dyDescent="0.35">
      <c r="A12" s="182"/>
      <c r="B12" s="179"/>
      <c r="C12" s="179"/>
      <c r="D12" s="179"/>
      <c r="F12" s="164"/>
      <c r="G12" s="164"/>
      <c r="H12" s="164"/>
      <c r="I12" s="164"/>
      <c r="J12" s="164"/>
      <c r="K12" s="164"/>
      <c r="M12" s="174"/>
      <c r="N12" s="174"/>
    </row>
    <row r="13" spans="1:16" x14ac:dyDescent="0.35">
      <c r="A13" s="182"/>
      <c r="B13" s="179"/>
      <c r="C13" s="179"/>
      <c r="D13" s="179"/>
      <c r="F13" s="164"/>
      <c r="G13" s="164"/>
      <c r="H13" s="164"/>
      <c r="I13" s="164"/>
      <c r="J13" s="164"/>
      <c r="K13" s="164"/>
      <c r="M13" s="174"/>
      <c r="N13" s="174"/>
    </row>
    <row r="14" spans="1:16" x14ac:dyDescent="0.35">
      <c r="A14" s="183"/>
      <c r="B14" s="180"/>
      <c r="C14" s="180"/>
      <c r="D14" s="180"/>
      <c r="F14" s="164"/>
      <c r="G14" s="164"/>
      <c r="H14" s="164"/>
      <c r="I14" s="164"/>
      <c r="J14" s="164"/>
      <c r="K14" s="164"/>
      <c r="M14" s="174"/>
      <c r="N14" s="174"/>
    </row>
    <row r="15" spans="1:16" ht="16.5" x14ac:dyDescent="0.35">
      <c r="A15" s="9" t="s">
        <v>75</v>
      </c>
      <c r="B15" s="184" t="s">
        <v>76</v>
      </c>
      <c r="C15" s="184"/>
      <c r="D15" s="184"/>
      <c r="F15" s="184" t="s">
        <v>77</v>
      </c>
      <c r="G15" s="184"/>
      <c r="H15" s="184"/>
      <c r="I15" s="184"/>
      <c r="J15" s="184"/>
      <c r="K15" s="184"/>
      <c r="M15" s="184" t="s">
        <v>77</v>
      </c>
      <c r="N15" s="184"/>
    </row>
    <row r="16" spans="1:16" x14ac:dyDescent="0.35">
      <c r="A16" s="175" t="s">
        <v>79</v>
      </c>
      <c r="B16" s="164" t="s">
        <v>78</v>
      </c>
      <c r="C16" s="164"/>
      <c r="D16" s="164"/>
      <c r="F16" s="165" t="s">
        <v>84</v>
      </c>
      <c r="G16" s="166"/>
      <c r="H16" s="166"/>
      <c r="I16" s="166"/>
      <c r="J16" s="166"/>
      <c r="K16" s="167"/>
      <c r="M16" s="174" t="s">
        <v>85</v>
      </c>
      <c r="N16" s="174"/>
    </row>
    <row r="17" spans="1:14" x14ac:dyDescent="0.35">
      <c r="A17" s="175"/>
      <c r="B17" s="164"/>
      <c r="C17" s="164"/>
      <c r="D17" s="164"/>
      <c r="F17" s="168"/>
      <c r="G17" s="169"/>
      <c r="H17" s="169"/>
      <c r="I17" s="169"/>
      <c r="J17" s="169"/>
      <c r="K17" s="170"/>
      <c r="M17" s="174"/>
      <c r="N17" s="174"/>
    </row>
    <row r="18" spans="1:14" x14ac:dyDescent="0.35">
      <c r="A18" s="175"/>
      <c r="B18" s="164"/>
      <c r="C18" s="164"/>
      <c r="D18" s="164"/>
      <c r="F18" s="168"/>
      <c r="G18" s="169"/>
      <c r="H18" s="169"/>
      <c r="I18" s="169"/>
      <c r="J18" s="169"/>
      <c r="K18" s="170"/>
      <c r="M18" s="174"/>
      <c r="N18" s="174"/>
    </row>
    <row r="19" spans="1:14" x14ac:dyDescent="0.35">
      <c r="A19" s="175"/>
      <c r="B19" s="164"/>
      <c r="C19" s="164"/>
      <c r="D19" s="164"/>
      <c r="F19" s="168"/>
      <c r="G19" s="169"/>
      <c r="H19" s="169"/>
      <c r="I19" s="169"/>
      <c r="J19" s="169"/>
      <c r="K19" s="170"/>
      <c r="M19" s="174"/>
      <c r="N19" s="174"/>
    </row>
    <row r="20" spans="1:14" x14ac:dyDescent="0.35">
      <c r="A20" s="175"/>
      <c r="B20" s="164"/>
      <c r="C20" s="164"/>
      <c r="D20" s="164"/>
      <c r="F20" s="168"/>
      <c r="G20" s="169"/>
      <c r="H20" s="169"/>
      <c r="I20" s="169"/>
      <c r="J20" s="169"/>
      <c r="K20" s="170"/>
      <c r="M20" s="174"/>
      <c r="N20" s="174"/>
    </row>
    <row r="21" spans="1:14" x14ac:dyDescent="0.35">
      <c r="A21" s="175"/>
      <c r="B21" s="164"/>
      <c r="C21" s="164"/>
      <c r="D21" s="164"/>
      <c r="F21" s="168"/>
      <c r="G21" s="169"/>
      <c r="H21" s="169"/>
      <c r="I21" s="169"/>
      <c r="J21" s="169"/>
      <c r="K21" s="170"/>
      <c r="M21" s="174"/>
      <c r="N21" s="174"/>
    </row>
    <row r="22" spans="1:14" x14ac:dyDescent="0.35">
      <c r="A22" s="175"/>
      <c r="B22" s="164"/>
      <c r="C22" s="164"/>
      <c r="D22" s="164"/>
      <c r="F22" s="168"/>
      <c r="G22" s="169"/>
      <c r="H22" s="169"/>
      <c r="I22" s="169"/>
      <c r="J22" s="169"/>
      <c r="K22" s="170"/>
      <c r="M22" s="174"/>
      <c r="N22" s="174"/>
    </row>
    <row r="23" spans="1:14" x14ac:dyDescent="0.35">
      <c r="A23" s="175"/>
      <c r="B23" s="164"/>
      <c r="C23" s="164"/>
      <c r="D23" s="164"/>
      <c r="F23" s="168"/>
      <c r="G23" s="169"/>
      <c r="H23" s="169"/>
      <c r="I23" s="169"/>
      <c r="J23" s="169"/>
      <c r="K23" s="170"/>
      <c r="M23" s="174"/>
      <c r="N23" s="174"/>
    </row>
    <row r="24" spans="1:14" x14ac:dyDescent="0.35">
      <c r="A24" s="175"/>
      <c r="B24" s="164"/>
      <c r="C24" s="164"/>
      <c r="D24" s="164"/>
      <c r="F24" s="168"/>
      <c r="G24" s="169"/>
      <c r="H24" s="169"/>
      <c r="I24" s="169"/>
      <c r="J24" s="169"/>
      <c r="K24" s="170"/>
      <c r="M24" s="174"/>
      <c r="N24" s="174"/>
    </row>
    <row r="25" spans="1:14" x14ac:dyDescent="0.35">
      <c r="A25" s="175"/>
      <c r="B25" s="164"/>
      <c r="C25" s="164"/>
      <c r="D25" s="164"/>
      <c r="F25" s="168"/>
      <c r="G25" s="169"/>
      <c r="H25" s="169"/>
      <c r="I25" s="169"/>
      <c r="J25" s="169"/>
      <c r="K25" s="170"/>
      <c r="M25" s="174"/>
      <c r="N25" s="174"/>
    </row>
    <row r="26" spans="1:14" x14ac:dyDescent="0.35">
      <c r="A26" s="175"/>
      <c r="B26" s="164"/>
      <c r="C26" s="164"/>
      <c r="D26" s="164"/>
      <c r="F26" s="168"/>
      <c r="G26" s="169"/>
      <c r="H26" s="169"/>
      <c r="I26" s="169"/>
      <c r="J26" s="169"/>
      <c r="K26" s="170"/>
      <c r="M26" s="174"/>
      <c r="N26" s="174"/>
    </row>
    <row r="27" spans="1:14" x14ac:dyDescent="0.35">
      <c r="A27" s="175"/>
      <c r="B27" s="164"/>
      <c r="C27" s="164"/>
      <c r="D27" s="164"/>
      <c r="F27" s="168"/>
      <c r="G27" s="169"/>
      <c r="H27" s="169"/>
      <c r="I27" s="169"/>
      <c r="J27" s="169"/>
      <c r="K27" s="170"/>
      <c r="M27" s="174"/>
      <c r="N27" s="174"/>
    </row>
    <row r="28" spans="1:14" x14ac:dyDescent="0.35">
      <c r="A28" s="175"/>
      <c r="B28" s="164"/>
      <c r="C28" s="164"/>
      <c r="D28" s="164"/>
      <c r="F28" s="168"/>
      <c r="G28" s="169"/>
      <c r="H28" s="169"/>
      <c r="I28" s="169"/>
      <c r="J28" s="169"/>
      <c r="K28" s="170"/>
      <c r="M28" s="174"/>
      <c r="N28" s="174"/>
    </row>
    <row r="29" spans="1:14" x14ac:dyDescent="0.35">
      <c r="A29" s="175"/>
      <c r="B29" s="164"/>
      <c r="C29" s="164"/>
      <c r="D29" s="164"/>
      <c r="F29" s="168"/>
      <c r="G29" s="169"/>
      <c r="H29" s="169"/>
      <c r="I29" s="169"/>
      <c r="J29" s="169"/>
      <c r="K29" s="170"/>
      <c r="M29" s="174"/>
      <c r="N29" s="174"/>
    </row>
    <row r="30" spans="1:14" x14ac:dyDescent="0.35">
      <c r="A30" s="175"/>
      <c r="B30" s="164"/>
      <c r="C30" s="164"/>
      <c r="D30" s="164"/>
      <c r="F30" s="168"/>
      <c r="G30" s="169"/>
      <c r="H30" s="169"/>
      <c r="I30" s="169"/>
      <c r="J30" s="169"/>
      <c r="K30" s="170"/>
      <c r="M30" s="174"/>
      <c r="N30" s="174"/>
    </row>
    <row r="31" spans="1:14" x14ac:dyDescent="0.35">
      <c r="A31" s="175"/>
      <c r="B31" s="164"/>
      <c r="C31" s="164"/>
      <c r="D31" s="164"/>
      <c r="F31" s="168"/>
      <c r="G31" s="169"/>
      <c r="H31" s="169"/>
      <c r="I31" s="169"/>
      <c r="J31" s="169"/>
      <c r="K31" s="170"/>
      <c r="M31" s="174"/>
      <c r="N31" s="174"/>
    </row>
    <row r="32" spans="1:14" x14ac:dyDescent="0.35">
      <c r="A32" s="175"/>
      <c r="B32" s="164"/>
      <c r="C32" s="164"/>
      <c r="D32" s="164"/>
      <c r="F32" s="171"/>
      <c r="G32" s="172"/>
      <c r="H32" s="172"/>
      <c r="I32" s="172"/>
      <c r="J32" s="172"/>
      <c r="K32" s="173"/>
      <c r="M32" s="174"/>
      <c r="N32" s="174"/>
    </row>
    <row r="33" spans="1:14" x14ac:dyDescent="0.35">
      <c r="A33" s="176" t="s">
        <v>82</v>
      </c>
      <c r="B33" s="164" t="s">
        <v>80</v>
      </c>
      <c r="C33" s="164"/>
      <c r="D33" s="164"/>
      <c r="F33" s="164" t="s">
        <v>81</v>
      </c>
      <c r="G33" s="164"/>
      <c r="H33" s="164"/>
      <c r="I33" s="164"/>
      <c r="J33" s="164"/>
      <c r="K33" s="164"/>
      <c r="M33" s="164" t="s">
        <v>81</v>
      </c>
      <c r="N33" s="164"/>
    </row>
    <row r="34" spans="1:14" x14ac:dyDescent="0.35">
      <c r="A34" s="177"/>
      <c r="B34" s="164"/>
      <c r="C34" s="164"/>
      <c r="D34" s="164"/>
      <c r="F34" s="164"/>
      <c r="G34" s="164"/>
      <c r="H34" s="164"/>
      <c r="I34" s="164"/>
      <c r="J34" s="164"/>
      <c r="K34" s="164"/>
      <c r="M34" s="164"/>
      <c r="N34" s="164"/>
    </row>
    <row r="35" spans="1:14" x14ac:dyDescent="0.35">
      <c r="A35" s="177"/>
      <c r="B35" s="164"/>
      <c r="C35" s="164"/>
      <c r="D35" s="164"/>
      <c r="F35" s="164"/>
      <c r="G35" s="164"/>
      <c r="H35" s="164"/>
      <c r="I35" s="164"/>
      <c r="J35" s="164"/>
      <c r="K35" s="164"/>
      <c r="M35" s="164"/>
      <c r="N35" s="164"/>
    </row>
    <row r="36" spans="1:14" x14ac:dyDescent="0.35">
      <c r="A36" s="177"/>
      <c r="B36" s="164"/>
      <c r="C36" s="164"/>
      <c r="D36" s="164"/>
      <c r="F36" s="164"/>
      <c r="G36" s="164"/>
      <c r="H36" s="164"/>
      <c r="I36" s="164"/>
      <c r="J36" s="164"/>
      <c r="K36" s="164"/>
      <c r="M36" s="164"/>
      <c r="N36" s="164"/>
    </row>
    <row r="37" spans="1:14" x14ac:dyDescent="0.35">
      <c r="A37" s="177"/>
      <c r="B37" s="164"/>
      <c r="C37" s="164"/>
      <c r="D37" s="164"/>
      <c r="F37" s="164"/>
      <c r="G37" s="164"/>
      <c r="H37" s="164"/>
      <c r="I37" s="164"/>
      <c r="J37" s="164"/>
      <c r="K37" s="164"/>
      <c r="M37" s="164"/>
      <c r="N37" s="164"/>
    </row>
    <row r="38" spans="1:14" x14ac:dyDescent="0.35">
      <c r="A38" s="177"/>
      <c r="B38" s="164"/>
      <c r="C38" s="164"/>
      <c r="D38" s="164"/>
      <c r="F38" s="164"/>
      <c r="G38" s="164"/>
      <c r="H38" s="164"/>
      <c r="I38" s="164"/>
      <c r="J38" s="164"/>
      <c r="K38" s="164"/>
      <c r="M38" s="164"/>
      <c r="N38" s="164"/>
    </row>
    <row r="39" spans="1:14" x14ac:dyDescent="0.35">
      <c r="A39" s="177"/>
      <c r="B39" s="164"/>
      <c r="C39" s="164"/>
      <c r="D39" s="164"/>
      <c r="F39" s="164"/>
      <c r="G39" s="164"/>
      <c r="H39" s="164"/>
      <c r="I39" s="164"/>
      <c r="J39" s="164"/>
      <c r="K39" s="164"/>
      <c r="M39" s="164"/>
      <c r="N39" s="164"/>
    </row>
    <row r="40" spans="1:14" x14ac:dyDescent="0.35">
      <c r="A40" s="177"/>
      <c r="B40" s="164"/>
      <c r="C40" s="164"/>
      <c r="D40" s="164"/>
      <c r="F40" s="164"/>
      <c r="G40" s="164"/>
      <c r="H40" s="164"/>
      <c r="I40" s="164"/>
      <c r="J40" s="164"/>
      <c r="K40" s="164"/>
      <c r="M40" s="164"/>
      <c r="N40" s="164"/>
    </row>
  </sheetData>
  <mergeCells count="21">
    <mergeCell ref="B33:D40"/>
    <mergeCell ref="F33:K40"/>
    <mergeCell ref="M33:N40"/>
    <mergeCell ref="A33:A40"/>
    <mergeCell ref="M9:N14"/>
    <mergeCell ref="B7:D14"/>
    <mergeCell ref="A2:A14"/>
    <mergeCell ref="B15:D15"/>
    <mergeCell ref="F15:K15"/>
    <mergeCell ref="M15:N15"/>
    <mergeCell ref="F11:H14"/>
    <mergeCell ref="F2:H3"/>
    <mergeCell ref="I2:K3"/>
    <mergeCell ref="I11:K14"/>
    <mergeCell ref="B2:D3"/>
    <mergeCell ref="M2:N3"/>
    <mergeCell ref="A1:B1"/>
    <mergeCell ref="B16:D32"/>
    <mergeCell ref="F16:K32"/>
    <mergeCell ref="M16:N32"/>
    <mergeCell ref="A16:A32"/>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AFE5-F4CB-4C20-BA12-5B28F59C3FA3}">
  <sheetPr>
    <tabColor theme="4"/>
  </sheetPr>
  <dimension ref="A1:I49"/>
  <sheetViews>
    <sheetView workbookViewId="0">
      <selection activeCell="B33" sqref="B33"/>
    </sheetView>
  </sheetViews>
  <sheetFormatPr defaultRowHeight="14.5" x14ac:dyDescent="0.35"/>
  <cols>
    <col min="1" max="1" width="55.90625" customWidth="1"/>
    <col min="2" max="2" width="18" style="128" customWidth="1"/>
    <col min="3" max="3" width="18" style="88" customWidth="1"/>
    <col min="4" max="7" width="18" style="128" customWidth="1"/>
    <col min="8" max="9" width="18" customWidth="1"/>
  </cols>
  <sheetData>
    <row r="1" spans="1:9" ht="26" x14ac:dyDescent="0.6">
      <c r="A1" s="190" t="s">
        <v>279</v>
      </c>
      <c r="B1" s="190"/>
      <c r="C1" s="190"/>
      <c r="D1" s="190"/>
      <c r="E1" s="190"/>
      <c r="F1" s="190"/>
      <c r="G1" s="190"/>
      <c r="H1" s="190"/>
      <c r="I1" s="190"/>
    </row>
    <row r="3" spans="1:9" ht="28" x14ac:dyDescent="0.35">
      <c r="A3" s="111" t="s">
        <v>257</v>
      </c>
      <c r="B3" s="129" t="s">
        <v>258</v>
      </c>
      <c r="C3" s="129" t="s">
        <v>259</v>
      </c>
      <c r="D3" s="129" t="s">
        <v>260</v>
      </c>
      <c r="E3" s="129" t="s">
        <v>261</v>
      </c>
      <c r="F3" s="129" t="s">
        <v>262</v>
      </c>
      <c r="G3" s="129" t="s">
        <v>263</v>
      </c>
      <c r="H3" s="112" t="s">
        <v>264</v>
      </c>
      <c r="I3" s="112" t="s">
        <v>265</v>
      </c>
    </row>
    <row r="4" spans="1:9" ht="18" x14ac:dyDescent="0.35">
      <c r="A4" s="113" t="s">
        <v>266</v>
      </c>
      <c r="B4" s="130">
        <v>4888</v>
      </c>
      <c r="C4" s="130">
        <v>4888</v>
      </c>
      <c r="D4" s="130">
        <v>4888</v>
      </c>
      <c r="E4" s="130">
        <v>4888</v>
      </c>
      <c r="F4" s="130">
        <v>4888</v>
      </c>
      <c r="G4" s="130">
        <v>4888</v>
      </c>
      <c r="H4" s="115">
        <v>4888</v>
      </c>
      <c r="I4" s="114">
        <v>4888</v>
      </c>
    </row>
    <row r="5" spans="1:9" ht="17.5" x14ac:dyDescent="0.35">
      <c r="A5" s="187" t="s">
        <v>267</v>
      </c>
      <c r="B5" s="188"/>
      <c r="C5" s="188"/>
      <c r="D5" s="188"/>
      <c r="E5" s="188"/>
      <c r="F5" s="188"/>
      <c r="G5" s="188"/>
      <c r="H5" s="188"/>
      <c r="I5" s="189"/>
    </row>
    <row r="6" spans="1:9" x14ac:dyDescent="0.35">
      <c r="A6" s="116" t="s">
        <v>268</v>
      </c>
      <c r="B6" s="133"/>
      <c r="C6" s="117">
        <v>200</v>
      </c>
      <c r="D6" s="117">
        <v>200</v>
      </c>
      <c r="E6" s="117">
        <v>200</v>
      </c>
      <c r="F6" s="117">
        <v>200</v>
      </c>
      <c r="G6" s="117">
        <v>200</v>
      </c>
      <c r="H6" s="117">
        <v>200</v>
      </c>
      <c r="I6" s="117">
        <v>200</v>
      </c>
    </row>
    <row r="7" spans="1:9" x14ac:dyDescent="0.35">
      <c r="A7" s="118" t="s">
        <v>269</v>
      </c>
      <c r="B7" s="134"/>
      <c r="C7" s="119">
        <v>500</v>
      </c>
      <c r="D7" s="119">
        <v>500</v>
      </c>
      <c r="E7" s="119">
        <v>500</v>
      </c>
      <c r="F7" s="119">
        <v>500</v>
      </c>
      <c r="G7" s="119">
        <v>500</v>
      </c>
      <c r="H7" s="119">
        <v>500</v>
      </c>
      <c r="I7" s="119">
        <v>500</v>
      </c>
    </row>
    <row r="8" spans="1:9" x14ac:dyDescent="0.35">
      <c r="A8" s="116" t="s">
        <v>270</v>
      </c>
      <c r="B8" s="133"/>
      <c r="C8" s="121">
        <v>2300</v>
      </c>
      <c r="D8" s="121">
        <v>2300</v>
      </c>
      <c r="E8" s="121">
        <v>2300</v>
      </c>
      <c r="F8" s="121">
        <v>2300</v>
      </c>
      <c r="G8" s="121">
        <v>2300</v>
      </c>
      <c r="H8" s="121">
        <v>2300</v>
      </c>
      <c r="I8" s="120">
        <v>2300</v>
      </c>
    </row>
    <row r="9" spans="1:9" x14ac:dyDescent="0.35">
      <c r="A9" s="118" t="s">
        <v>271</v>
      </c>
      <c r="B9" s="135"/>
      <c r="C9" s="123">
        <v>1000</v>
      </c>
      <c r="D9" s="123">
        <v>2000</v>
      </c>
      <c r="E9" s="123">
        <v>3000</v>
      </c>
      <c r="F9" s="123">
        <v>4000</v>
      </c>
      <c r="G9" s="123">
        <v>5000</v>
      </c>
      <c r="H9" s="123">
        <v>6000</v>
      </c>
      <c r="I9" s="122">
        <v>7000</v>
      </c>
    </row>
    <row r="10" spans="1:9" x14ac:dyDescent="0.35">
      <c r="A10" s="116" t="s">
        <v>272</v>
      </c>
      <c r="B10" s="133"/>
      <c r="C10" s="117">
        <v>950</v>
      </c>
      <c r="D10" s="121">
        <v>1900</v>
      </c>
      <c r="E10" s="121">
        <v>2850</v>
      </c>
      <c r="F10" s="121">
        <v>3800</v>
      </c>
      <c r="G10" s="121">
        <v>4750</v>
      </c>
      <c r="H10" s="121">
        <v>5700</v>
      </c>
      <c r="I10" s="120">
        <v>6650</v>
      </c>
    </row>
    <row r="11" spans="1:9" x14ac:dyDescent="0.35">
      <c r="A11" s="118" t="s">
        <v>273</v>
      </c>
      <c r="B11" s="135"/>
      <c r="C11" s="119">
        <v>800</v>
      </c>
      <c r="D11" s="123">
        <v>1600</v>
      </c>
      <c r="E11" s="123">
        <v>2400</v>
      </c>
      <c r="F11" s="123">
        <v>3200</v>
      </c>
      <c r="G11" s="123">
        <v>4000</v>
      </c>
      <c r="H11" s="123">
        <v>4800</v>
      </c>
      <c r="I11" s="122">
        <v>5600</v>
      </c>
    </row>
    <row r="12" spans="1:9" x14ac:dyDescent="0.35">
      <c r="A12" s="116" t="s">
        <v>274</v>
      </c>
      <c r="B12" s="133"/>
      <c r="C12" s="117">
        <v>350</v>
      </c>
      <c r="D12" s="117">
        <v>700</v>
      </c>
      <c r="E12" s="121">
        <v>1050</v>
      </c>
      <c r="F12" s="121">
        <v>1400</v>
      </c>
      <c r="G12" s="121">
        <v>1750</v>
      </c>
      <c r="H12" s="121">
        <v>2100</v>
      </c>
      <c r="I12" s="120">
        <v>2450</v>
      </c>
    </row>
    <row r="13" spans="1:9" x14ac:dyDescent="0.35">
      <c r="A13" s="118" t="s">
        <v>275</v>
      </c>
      <c r="B13" s="135"/>
      <c r="C13" s="123">
        <v>1900</v>
      </c>
      <c r="D13" s="123">
        <v>3800</v>
      </c>
      <c r="E13" s="123">
        <v>5700</v>
      </c>
      <c r="F13" s="123">
        <v>7600</v>
      </c>
      <c r="G13" s="123">
        <v>9500</v>
      </c>
      <c r="H13" s="122">
        <v>11400</v>
      </c>
      <c r="I13" s="122">
        <v>13300</v>
      </c>
    </row>
    <row r="14" spans="1:9" x14ac:dyDescent="0.35">
      <c r="A14" s="124" t="s">
        <v>276</v>
      </c>
      <c r="B14" s="133"/>
      <c r="C14" s="121">
        <v>8000</v>
      </c>
      <c r="D14" s="121">
        <v>13000</v>
      </c>
      <c r="E14" s="121">
        <v>18000</v>
      </c>
      <c r="F14" s="121">
        <v>23000</v>
      </c>
      <c r="G14" s="121">
        <v>28000</v>
      </c>
      <c r="H14" s="120">
        <v>33000</v>
      </c>
      <c r="I14" s="120">
        <v>38000</v>
      </c>
    </row>
    <row r="15" spans="1:9" ht="21" x14ac:dyDescent="0.35">
      <c r="A15" s="125" t="s">
        <v>277</v>
      </c>
      <c r="B15" s="131">
        <v>4888</v>
      </c>
      <c r="C15" s="131">
        <v>12888</v>
      </c>
      <c r="D15" s="131">
        <v>17888</v>
      </c>
      <c r="E15" s="131">
        <v>22888</v>
      </c>
      <c r="F15" s="131">
        <v>27888</v>
      </c>
      <c r="G15" s="131">
        <v>32888</v>
      </c>
      <c r="H15" s="126">
        <v>37888</v>
      </c>
      <c r="I15" s="126">
        <v>42888</v>
      </c>
    </row>
    <row r="16" spans="1:9" ht="18.5" x14ac:dyDescent="0.35">
      <c r="A16" s="113" t="s">
        <v>278</v>
      </c>
      <c r="B16" s="132">
        <v>4888</v>
      </c>
      <c r="C16" s="132">
        <v>10588</v>
      </c>
      <c r="D16" s="132">
        <v>14588</v>
      </c>
      <c r="E16" s="132">
        <v>18588</v>
      </c>
      <c r="F16" s="132">
        <v>22588</v>
      </c>
      <c r="G16" s="132">
        <v>26588</v>
      </c>
      <c r="H16" s="127">
        <v>30588</v>
      </c>
      <c r="I16" s="127">
        <v>34588</v>
      </c>
    </row>
    <row r="19" spans="1:9" s="155" customFormat="1" ht="25.5" customHeight="1" x14ac:dyDescent="0.35">
      <c r="A19" s="152" t="s">
        <v>311</v>
      </c>
      <c r="B19" s="152" t="s">
        <v>312</v>
      </c>
      <c r="C19" s="152" t="s">
        <v>313</v>
      </c>
      <c r="D19" s="152" t="s">
        <v>314</v>
      </c>
      <c r="E19" s="152" t="s">
        <v>315</v>
      </c>
      <c r="F19" s="152" t="s">
        <v>316</v>
      </c>
      <c r="G19" s="152" t="s">
        <v>317</v>
      </c>
      <c r="H19" s="152" t="s">
        <v>318</v>
      </c>
      <c r="I19" s="152" t="s">
        <v>319</v>
      </c>
    </row>
    <row r="20" spans="1:9" x14ac:dyDescent="0.35">
      <c r="A20" t="s">
        <v>320</v>
      </c>
      <c r="B20" s="149">
        <v>4888</v>
      </c>
      <c r="C20" s="150">
        <v>10800</v>
      </c>
      <c r="D20" s="149">
        <v>16200</v>
      </c>
      <c r="E20" s="149">
        <v>20700</v>
      </c>
      <c r="F20" s="149">
        <v>29700</v>
      </c>
      <c r="G20" s="149">
        <v>29700</v>
      </c>
      <c r="H20" s="151">
        <v>34200</v>
      </c>
      <c r="I20" s="151">
        <v>38700</v>
      </c>
    </row>
    <row r="21" spans="1:9" x14ac:dyDescent="0.35">
      <c r="A21" t="s">
        <v>321</v>
      </c>
      <c r="B21" s="149">
        <v>4888</v>
      </c>
      <c r="C21" s="150">
        <v>12000</v>
      </c>
      <c r="D21" s="149">
        <v>18000</v>
      </c>
      <c r="E21" s="149">
        <v>23000</v>
      </c>
      <c r="F21" s="149">
        <v>28000</v>
      </c>
      <c r="G21" s="149">
        <v>33000</v>
      </c>
      <c r="H21" s="151">
        <v>38000</v>
      </c>
      <c r="I21" s="151">
        <v>43000</v>
      </c>
    </row>
    <row r="23" spans="1:9" s="155" customFormat="1" ht="21" x14ac:dyDescent="0.35">
      <c r="A23" s="152" t="s">
        <v>322</v>
      </c>
      <c r="B23" s="152" t="s">
        <v>252</v>
      </c>
      <c r="C23" s="152" t="s">
        <v>253</v>
      </c>
      <c r="D23" s="152" t="s">
        <v>323</v>
      </c>
      <c r="E23" s="152" t="s">
        <v>324</v>
      </c>
      <c r="F23" s="152" t="s">
        <v>325</v>
      </c>
      <c r="G23" s="152" t="s">
        <v>326</v>
      </c>
      <c r="H23" s="152" t="s">
        <v>318</v>
      </c>
      <c r="I23" s="152" t="s">
        <v>319</v>
      </c>
    </row>
    <row r="24" spans="1:9" x14ac:dyDescent="0.35">
      <c r="A24" t="s">
        <v>327</v>
      </c>
      <c r="B24" s="149">
        <v>4888</v>
      </c>
      <c r="C24" s="150">
        <v>9900</v>
      </c>
      <c r="D24" s="149">
        <v>13950</v>
      </c>
      <c r="E24" s="149">
        <v>17550</v>
      </c>
      <c r="F24" s="149">
        <v>21150</v>
      </c>
      <c r="G24" s="149">
        <v>24750</v>
      </c>
      <c r="H24" s="151">
        <v>28350</v>
      </c>
      <c r="I24" s="151">
        <v>31950</v>
      </c>
    </row>
    <row r="25" spans="1:9" x14ac:dyDescent="0.35">
      <c r="A25" t="s">
        <v>328</v>
      </c>
      <c r="B25" s="149">
        <v>4888</v>
      </c>
      <c r="C25" s="150">
        <v>11000</v>
      </c>
      <c r="D25" s="149">
        <v>15500</v>
      </c>
      <c r="E25" s="149">
        <v>19500</v>
      </c>
      <c r="F25" s="149">
        <v>23500</v>
      </c>
      <c r="G25" s="149">
        <v>27500</v>
      </c>
      <c r="H25" s="151">
        <v>31500</v>
      </c>
      <c r="I25" s="151">
        <v>35500</v>
      </c>
    </row>
    <row r="27" spans="1:9" ht="21" x14ac:dyDescent="0.5">
      <c r="A27" s="154" t="s">
        <v>329</v>
      </c>
    </row>
    <row r="28" spans="1:9" ht="29" x14ac:dyDescent="0.35">
      <c r="A28" s="153" t="s">
        <v>330</v>
      </c>
    </row>
    <row r="29" spans="1:9" x14ac:dyDescent="0.35">
      <c r="A29" t="s">
        <v>331</v>
      </c>
    </row>
    <row r="30" spans="1:9" x14ac:dyDescent="0.35">
      <c r="A30" t="s">
        <v>332</v>
      </c>
    </row>
    <row r="31" spans="1:9" x14ac:dyDescent="0.35">
      <c r="A31" t="s">
        <v>333</v>
      </c>
    </row>
    <row r="32" spans="1:9" x14ac:dyDescent="0.35">
      <c r="A32" t="s">
        <v>334</v>
      </c>
    </row>
    <row r="33" spans="1:1" x14ac:dyDescent="0.35">
      <c r="A33" t="s">
        <v>335</v>
      </c>
    </row>
    <row r="34" spans="1:1" x14ac:dyDescent="0.35">
      <c r="A34" t="s">
        <v>336</v>
      </c>
    </row>
    <row r="35" spans="1:1" x14ac:dyDescent="0.35">
      <c r="A35" t="s">
        <v>337</v>
      </c>
    </row>
    <row r="36" spans="1:1" x14ac:dyDescent="0.35">
      <c r="A36" t="s">
        <v>338</v>
      </c>
    </row>
    <row r="38" spans="1:1" ht="21" x14ac:dyDescent="0.5">
      <c r="A38" s="154" t="s">
        <v>339</v>
      </c>
    </row>
    <row r="39" spans="1:1" x14ac:dyDescent="0.35">
      <c r="A39" t="s">
        <v>340</v>
      </c>
    </row>
    <row r="40" spans="1:1" x14ac:dyDescent="0.35">
      <c r="A40" t="s">
        <v>341</v>
      </c>
    </row>
    <row r="41" spans="1:1" x14ac:dyDescent="0.35">
      <c r="A41" t="s">
        <v>342</v>
      </c>
    </row>
    <row r="42" spans="1:1" x14ac:dyDescent="0.35">
      <c r="A42" t="s">
        <v>343</v>
      </c>
    </row>
    <row r="43" spans="1:1" x14ac:dyDescent="0.35">
      <c r="A43" t="s">
        <v>344</v>
      </c>
    </row>
    <row r="44" spans="1:1" x14ac:dyDescent="0.35">
      <c r="A44" t="s">
        <v>345</v>
      </c>
    </row>
    <row r="45" spans="1:1" x14ac:dyDescent="0.35">
      <c r="A45" t="s">
        <v>346</v>
      </c>
    </row>
    <row r="46" spans="1:1" x14ac:dyDescent="0.35">
      <c r="A46" t="s">
        <v>347</v>
      </c>
    </row>
    <row r="47" spans="1:1" x14ac:dyDescent="0.35">
      <c r="A47" t="s">
        <v>348</v>
      </c>
    </row>
    <row r="48" spans="1:1" x14ac:dyDescent="0.35">
      <c r="A48" t="s">
        <v>349</v>
      </c>
    </row>
    <row r="49" spans="1:1" ht="29" x14ac:dyDescent="0.35">
      <c r="A49" s="153" t="s">
        <v>350</v>
      </c>
    </row>
  </sheetData>
  <mergeCells count="2">
    <mergeCell ref="A5:I5"/>
    <mergeCell ref="A1:I1"/>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BA54B-879C-4738-B72A-09E8EC38F035}">
  <sheetPr>
    <tabColor theme="4" tint="0.39997558519241921"/>
  </sheetPr>
  <dimension ref="A1:Q41"/>
  <sheetViews>
    <sheetView zoomScale="125" zoomScaleNormal="175" workbookViewId="0">
      <selection activeCell="C9" sqref="C9"/>
    </sheetView>
  </sheetViews>
  <sheetFormatPr defaultRowHeight="14.5" x14ac:dyDescent="0.35"/>
  <cols>
    <col min="1" max="1" width="18.54296875" customWidth="1"/>
    <col min="2" max="2" width="22.90625" customWidth="1"/>
    <col min="3" max="3" width="16.54296875" customWidth="1"/>
    <col min="4" max="9" width="14" customWidth="1"/>
    <col min="10" max="10" width="11.36328125" customWidth="1"/>
    <col min="11" max="11" width="12.453125" customWidth="1"/>
    <col min="12" max="12" width="12" customWidth="1"/>
    <col min="13" max="13" width="11.90625" customWidth="1"/>
    <col min="14" max="14" width="4.08984375" customWidth="1"/>
    <col min="15" max="15" width="99.36328125" customWidth="1"/>
  </cols>
  <sheetData>
    <row r="1" spans="1:17" ht="28.5" x14ac:dyDescent="0.35">
      <c r="B1" s="86" t="s">
        <v>219</v>
      </c>
    </row>
    <row r="2" spans="1:17" ht="23.5" x14ac:dyDescent="0.55000000000000004">
      <c r="A2" s="194" t="s">
        <v>0</v>
      </c>
      <c r="B2" s="194"/>
      <c r="F2" s="1"/>
      <c r="G2" s="1"/>
    </row>
    <row r="3" spans="1:17" x14ac:dyDescent="0.35">
      <c r="D3" s="1"/>
      <c r="E3" s="1"/>
      <c r="F3" s="1"/>
    </row>
    <row r="4" spans="1:17" ht="15.5" x14ac:dyDescent="0.35">
      <c r="A4" s="10" t="s">
        <v>1</v>
      </c>
      <c r="B4" s="10" t="s">
        <v>2</v>
      </c>
      <c r="C4" s="10" t="s">
        <v>3</v>
      </c>
      <c r="D4" s="10" t="s">
        <v>4</v>
      </c>
      <c r="E4" s="10" t="s">
        <v>5</v>
      </c>
      <c r="F4" s="10" t="s">
        <v>6</v>
      </c>
      <c r="G4" s="10" t="s">
        <v>7</v>
      </c>
      <c r="H4" s="10" t="s">
        <v>8</v>
      </c>
      <c r="I4" s="10" t="s">
        <v>9</v>
      </c>
      <c r="J4" s="203" t="s">
        <v>10</v>
      </c>
      <c r="K4" s="203"/>
      <c r="L4" s="203"/>
      <c r="M4" s="203"/>
      <c r="N4" s="11"/>
      <c r="O4" s="203" t="s">
        <v>11</v>
      </c>
      <c r="P4" s="203"/>
      <c r="Q4" s="203"/>
    </row>
    <row r="5" spans="1:17" ht="15.5" x14ac:dyDescent="0.35">
      <c r="A5" s="197" t="s">
        <v>12</v>
      </c>
      <c r="B5" s="198"/>
      <c r="C5" s="198"/>
      <c r="D5" s="198"/>
      <c r="E5" s="198"/>
      <c r="F5" s="198"/>
      <c r="G5" s="198"/>
      <c r="H5" s="198"/>
      <c r="I5" s="199"/>
      <c r="J5" s="11"/>
      <c r="K5" s="11"/>
      <c r="L5" s="11"/>
      <c r="M5" s="11"/>
      <c r="N5" s="11"/>
      <c r="O5" s="11"/>
      <c r="P5" s="11"/>
      <c r="Q5" s="11"/>
    </row>
    <row r="6" spans="1:17" ht="15.5" x14ac:dyDescent="0.35">
      <c r="A6" s="191" t="s">
        <v>13</v>
      </c>
      <c r="B6" s="192"/>
      <c r="C6" s="192"/>
      <c r="D6" s="192"/>
      <c r="E6" s="192"/>
      <c r="F6" s="192"/>
      <c r="G6" s="192"/>
      <c r="H6" s="192"/>
      <c r="I6" s="195"/>
      <c r="J6" s="11"/>
      <c r="K6" s="11"/>
      <c r="L6" s="11"/>
      <c r="M6" s="11"/>
      <c r="N6" s="11"/>
      <c r="O6" s="11"/>
      <c r="P6" s="11"/>
      <c r="Q6" s="11"/>
    </row>
    <row r="7" spans="1:17" ht="15.5" x14ac:dyDescent="0.35">
      <c r="A7" s="12" t="s">
        <v>14</v>
      </c>
      <c r="B7" s="13" t="s">
        <v>15</v>
      </c>
      <c r="C7" s="14">
        <v>6000</v>
      </c>
      <c r="D7" s="14">
        <v>10800</v>
      </c>
      <c r="E7" s="14">
        <v>15300</v>
      </c>
      <c r="F7" s="14">
        <v>20400</v>
      </c>
      <c r="G7" s="14">
        <v>25500</v>
      </c>
      <c r="H7" s="14">
        <v>30600</v>
      </c>
      <c r="I7" s="14">
        <v>51000</v>
      </c>
      <c r="J7" s="193" t="s">
        <v>16</v>
      </c>
      <c r="K7" s="193"/>
      <c r="L7" s="193"/>
      <c r="M7" s="193"/>
      <c r="N7" s="11"/>
      <c r="O7" s="193" t="s">
        <v>17</v>
      </c>
      <c r="P7" s="193"/>
      <c r="Q7" s="193"/>
    </row>
    <row r="8" spans="1:17" ht="15.5" x14ac:dyDescent="0.35">
      <c r="A8" s="12" t="s">
        <v>18</v>
      </c>
      <c r="B8" s="13" t="s">
        <v>19</v>
      </c>
      <c r="C8" s="14">
        <v>12000</v>
      </c>
      <c r="D8" s="15">
        <v>22800</v>
      </c>
      <c r="E8" s="15">
        <v>32400</v>
      </c>
      <c r="F8" s="15">
        <v>43200</v>
      </c>
      <c r="G8" s="16">
        <v>51000</v>
      </c>
      <c r="H8" s="15">
        <v>57600</v>
      </c>
      <c r="I8" s="16">
        <v>90000</v>
      </c>
      <c r="J8" s="193" t="s">
        <v>20</v>
      </c>
      <c r="K8" s="193"/>
      <c r="L8" s="193"/>
      <c r="M8" s="193"/>
      <c r="N8" s="11"/>
      <c r="O8" s="196" t="s">
        <v>21</v>
      </c>
      <c r="P8" s="196"/>
      <c r="Q8" s="196"/>
    </row>
    <row r="9" spans="1:17" ht="15.5" x14ac:dyDescent="0.35">
      <c r="A9" s="12" t="s">
        <v>22</v>
      </c>
      <c r="B9" s="13" t="s">
        <v>23</v>
      </c>
      <c r="C9" s="14">
        <v>14000</v>
      </c>
      <c r="D9" s="15">
        <v>26600</v>
      </c>
      <c r="E9" s="15">
        <v>37800</v>
      </c>
      <c r="F9" s="15">
        <v>50400</v>
      </c>
      <c r="G9" s="16">
        <v>59500</v>
      </c>
      <c r="H9" s="15">
        <v>67200</v>
      </c>
      <c r="I9" s="16">
        <v>105000</v>
      </c>
      <c r="J9" s="196" t="s">
        <v>24</v>
      </c>
      <c r="K9" s="196"/>
      <c r="L9" s="196"/>
      <c r="M9" s="196"/>
      <c r="N9" s="11"/>
      <c r="O9" s="196"/>
      <c r="P9" s="196"/>
      <c r="Q9" s="196"/>
    </row>
    <row r="10" spans="1:17" ht="15.5" x14ac:dyDescent="0.35">
      <c r="A10" s="12" t="s">
        <v>25</v>
      </c>
      <c r="B10" s="13" t="s">
        <v>26</v>
      </c>
      <c r="C10" s="14">
        <v>18000</v>
      </c>
      <c r="D10" s="15">
        <v>34200</v>
      </c>
      <c r="E10" s="15">
        <v>48600</v>
      </c>
      <c r="F10" s="15">
        <v>64800</v>
      </c>
      <c r="G10" s="16">
        <v>76500</v>
      </c>
      <c r="H10" s="15">
        <v>86400</v>
      </c>
      <c r="I10" s="16">
        <v>135000</v>
      </c>
      <c r="J10" s="196"/>
      <c r="K10" s="196"/>
      <c r="L10" s="196"/>
      <c r="M10" s="196"/>
      <c r="N10" s="11"/>
      <c r="O10" s="196"/>
      <c r="P10" s="196"/>
      <c r="Q10" s="196"/>
    </row>
    <row r="11" spans="1:17" ht="15.5" x14ac:dyDescent="0.35">
      <c r="A11" s="12" t="s">
        <v>27</v>
      </c>
      <c r="B11" s="13" t="s">
        <v>28</v>
      </c>
      <c r="C11" s="14">
        <v>22000</v>
      </c>
      <c r="D11" s="15">
        <v>41800</v>
      </c>
      <c r="E11" s="15">
        <v>59400</v>
      </c>
      <c r="F11" s="15">
        <v>79200</v>
      </c>
      <c r="G11" s="16">
        <v>93500</v>
      </c>
      <c r="H11" s="15">
        <v>105600</v>
      </c>
      <c r="I11" s="16">
        <v>165000</v>
      </c>
      <c r="J11" s="196"/>
      <c r="K11" s="196"/>
      <c r="L11" s="196"/>
      <c r="M11" s="196"/>
      <c r="N11" s="11"/>
      <c r="O11" s="196"/>
      <c r="P11" s="196"/>
      <c r="Q11" s="196"/>
    </row>
    <row r="12" spans="1:17" ht="15.5" x14ac:dyDescent="0.35">
      <c r="A12" s="12" t="s">
        <v>29</v>
      </c>
      <c r="B12" s="13" t="s">
        <v>30</v>
      </c>
      <c r="C12" s="15">
        <v>26000</v>
      </c>
      <c r="D12" s="15">
        <v>49400</v>
      </c>
      <c r="E12" s="15">
        <v>70200</v>
      </c>
      <c r="F12" s="15">
        <v>93600</v>
      </c>
      <c r="G12" s="16">
        <v>110500</v>
      </c>
      <c r="H12" s="15">
        <v>124800</v>
      </c>
      <c r="I12" s="16">
        <v>195000</v>
      </c>
      <c r="J12" s="196"/>
      <c r="K12" s="196"/>
      <c r="L12" s="196"/>
      <c r="M12" s="196"/>
      <c r="N12" s="11"/>
      <c r="O12" s="196"/>
      <c r="P12" s="196"/>
      <c r="Q12" s="196"/>
    </row>
    <row r="13" spans="1:17" ht="15.5" x14ac:dyDescent="0.35">
      <c r="A13" s="11"/>
      <c r="B13" s="13"/>
      <c r="C13" s="17"/>
      <c r="D13" s="17"/>
      <c r="E13" s="17"/>
      <c r="F13" s="17"/>
      <c r="G13" s="18"/>
      <c r="H13" s="17"/>
      <c r="I13" s="18"/>
      <c r="J13" s="19"/>
      <c r="K13" s="19"/>
      <c r="L13" s="19"/>
      <c r="M13" s="19"/>
      <c r="N13" s="11"/>
      <c r="O13" s="19"/>
      <c r="P13" s="19"/>
      <c r="Q13" s="19"/>
    </row>
    <row r="14" spans="1:17" ht="15.5" x14ac:dyDescent="0.35">
      <c r="A14" s="11"/>
      <c r="B14" s="11"/>
      <c r="C14" s="11"/>
      <c r="D14" s="11"/>
      <c r="E14" s="11"/>
      <c r="F14" s="11"/>
      <c r="G14" s="11"/>
      <c r="H14" s="11"/>
      <c r="I14" s="11"/>
      <c r="J14" s="11"/>
      <c r="K14" s="11"/>
      <c r="L14" s="11"/>
      <c r="M14" s="11"/>
      <c r="N14" s="11"/>
      <c r="O14" s="11"/>
      <c r="P14" s="11"/>
      <c r="Q14" s="11"/>
    </row>
    <row r="15" spans="1:17" ht="15.5" x14ac:dyDescent="0.35">
      <c r="A15" s="197" t="s">
        <v>31</v>
      </c>
      <c r="B15" s="198"/>
      <c r="C15" s="198"/>
      <c r="D15" s="198"/>
      <c r="E15" s="198"/>
      <c r="F15" s="198"/>
      <c r="G15" s="198"/>
      <c r="H15" s="198"/>
      <c r="I15" s="199"/>
      <c r="J15" s="11"/>
      <c r="K15" s="11"/>
      <c r="L15" s="11"/>
      <c r="M15" s="11"/>
      <c r="N15" s="11"/>
      <c r="O15" s="11"/>
      <c r="P15" s="11"/>
      <c r="Q15" s="11"/>
    </row>
    <row r="16" spans="1:17" ht="15.5" x14ac:dyDescent="0.35">
      <c r="A16" s="191" t="s">
        <v>13</v>
      </c>
      <c r="B16" s="192"/>
      <c r="C16" s="192"/>
      <c r="D16" s="192"/>
      <c r="E16" s="192"/>
      <c r="F16" s="192"/>
      <c r="G16" s="192"/>
      <c r="H16" s="192"/>
      <c r="I16" s="195"/>
      <c r="J16" s="11"/>
      <c r="K16" s="11"/>
      <c r="L16" s="11"/>
      <c r="M16" s="11"/>
      <c r="N16" s="11"/>
      <c r="O16" s="11"/>
      <c r="P16" s="11"/>
      <c r="Q16" s="11"/>
    </row>
    <row r="17" spans="1:17" ht="15.5" x14ac:dyDescent="0.35">
      <c r="A17" s="12" t="s">
        <v>32</v>
      </c>
      <c r="B17" s="13" t="s">
        <v>33</v>
      </c>
      <c r="C17" s="14">
        <v>16550</v>
      </c>
      <c r="D17" s="15">
        <v>28100</v>
      </c>
      <c r="E17" s="15">
        <v>39650</v>
      </c>
      <c r="F17" s="15">
        <v>49550</v>
      </c>
      <c r="G17" s="200"/>
      <c r="H17" s="15">
        <v>69350</v>
      </c>
      <c r="I17" s="200"/>
      <c r="J17" s="196" t="s">
        <v>34</v>
      </c>
      <c r="K17" s="196"/>
      <c r="L17" s="196"/>
      <c r="M17" s="196"/>
      <c r="N17" s="11"/>
      <c r="O17" s="196" t="s">
        <v>35</v>
      </c>
      <c r="P17" s="196"/>
      <c r="Q17" s="196"/>
    </row>
    <row r="18" spans="1:17" ht="15.5" x14ac:dyDescent="0.35">
      <c r="A18" s="12" t="s">
        <v>25</v>
      </c>
      <c r="B18" s="13" t="s">
        <v>36</v>
      </c>
      <c r="C18" s="14">
        <v>20050</v>
      </c>
      <c r="D18" s="15">
        <v>34050</v>
      </c>
      <c r="E18" s="15">
        <v>48050</v>
      </c>
      <c r="F18" s="15">
        <v>60050</v>
      </c>
      <c r="G18" s="201"/>
      <c r="H18" s="15">
        <v>84050</v>
      </c>
      <c r="I18" s="201"/>
      <c r="J18" s="196"/>
      <c r="K18" s="196"/>
      <c r="L18" s="196"/>
      <c r="M18" s="196"/>
      <c r="N18" s="11"/>
      <c r="O18" s="196"/>
      <c r="P18" s="196"/>
      <c r="Q18" s="196"/>
    </row>
    <row r="19" spans="1:17" ht="15.5" x14ac:dyDescent="0.35">
      <c r="A19" s="12" t="s">
        <v>27</v>
      </c>
      <c r="B19" s="13" t="s">
        <v>37</v>
      </c>
      <c r="C19" s="14">
        <v>25050</v>
      </c>
      <c r="D19" s="15">
        <v>42550</v>
      </c>
      <c r="E19" s="15">
        <v>60050</v>
      </c>
      <c r="F19" s="15">
        <v>75050</v>
      </c>
      <c r="G19" s="201"/>
      <c r="H19" s="15">
        <v>105050</v>
      </c>
      <c r="I19" s="201"/>
      <c r="J19" s="196"/>
      <c r="K19" s="196"/>
      <c r="L19" s="196"/>
      <c r="M19" s="196"/>
      <c r="N19" s="11"/>
      <c r="O19" s="196"/>
      <c r="P19" s="196"/>
      <c r="Q19" s="196"/>
    </row>
    <row r="20" spans="1:17" ht="15.5" x14ac:dyDescent="0.35">
      <c r="A20" s="12" t="s">
        <v>29</v>
      </c>
      <c r="B20" s="13" t="s">
        <v>38</v>
      </c>
      <c r="C20" s="15">
        <v>29050</v>
      </c>
      <c r="D20" s="15">
        <v>49350</v>
      </c>
      <c r="E20" s="15">
        <v>69650</v>
      </c>
      <c r="F20" s="15">
        <v>87050</v>
      </c>
      <c r="G20" s="202"/>
      <c r="H20" s="15">
        <v>121850</v>
      </c>
      <c r="I20" s="202"/>
      <c r="J20" s="196"/>
      <c r="K20" s="196"/>
      <c r="L20" s="196"/>
      <c r="M20" s="196"/>
      <c r="N20" s="11"/>
      <c r="O20" s="196"/>
      <c r="P20" s="196"/>
      <c r="Q20" s="196"/>
    </row>
    <row r="21" spans="1:17" ht="15.5" x14ac:dyDescent="0.35">
      <c r="A21" s="191" t="s">
        <v>39</v>
      </c>
      <c r="B21" s="192"/>
      <c r="C21" s="192"/>
      <c r="D21" s="192"/>
      <c r="E21" s="192"/>
      <c r="F21" s="192"/>
      <c r="G21" s="192"/>
      <c r="H21" s="192"/>
      <c r="I21" s="195"/>
      <c r="J21" s="11"/>
      <c r="K21" s="11"/>
      <c r="L21" s="11"/>
      <c r="M21" s="11"/>
      <c r="N21" s="11"/>
      <c r="O21" s="11"/>
      <c r="P21" s="11"/>
      <c r="Q21" s="11"/>
    </row>
    <row r="22" spans="1:17" ht="15.5" x14ac:dyDescent="0.35">
      <c r="A22" s="12" t="s">
        <v>32</v>
      </c>
      <c r="B22" s="13" t="s">
        <v>40</v>
      </c>
      <c r="C22" s="15">
        <v>20500</v>
      </c>
      <c r="D22" s="15">
        <v>38950</v>
      </c>
      <c r="E22" s="15">
        <v>55350</v>
      </c>
      <c r="F22" s="15">
        <v>73800</v>
      </c>
      <c r="G22" s="15">
        <v>87125</v>
      </c>
      <c r="H22" s="15">
        <v>98400</v>
      </c>
      <c r="I22" s="15">
        <v>153750</v>
      </c>
      <c r="J22" s="196" t="s">
        <v>34</v>
      </c>
      <c r="K22" s="196"/>
      <c r="L22" s="196"/>
      <c r="M22" s="196"/>
      <c r="N22" s="11"/>
      <c r="O22" s="196" t="s">
        <v>35</v>
      </c>
      <c r="P22" s="196"/>
      <c r="Q22" s="196"/>
    </row>
    <row r="23" spans="1:17" ht="15.5" x14ac:dyDescent="0.35">
      <c r="A23" s="12" t="s">
        <v>25</v>
      </c>
      <c r="B23" s="13" t="s">
        <v>41</v>
      </c>
      <c r="C23" s="15">
        <v>24500</v>
      </c>
      <c r="D23" s="15">
        <v>46550</v>
      </c>
      <c r="E23" s="15">
        <v>66150</v>
      </c>
      <c r="F23" s="15">
        <v>88200</v>
      </c>
      <c r="G23" s="15">
        <v>104125</v>
      </c>
      <c r="H23" s="15">
        <v>117600</v>
      </c>
      <c r="I23" s="15">
        <v>183750</v>
      </c>
      <c r="J23" s="196"/>
      <c r="K23" s="196"/>
      <c r="L23" s="196"/>
      <c r="M23" s="196"/>
      <c r="N23" s="11"/>
      <c r="O23" s="196"/>
      <c r="P23" s="196"/>
      <c r="Q23" s="196"/>
    </row>
    <row r="24" spans="1:17" ht="15.5" x14ac:dyDescent="0.35">
      <c r="A24" s="12" t="s">
        <v>27</v>
      </c>
      <c r="B24" s="13" t="s">
        <v>42</v>
      </c>
      <c r="C24" s="14">
        <v>28500</v>
      </c>
      <c r="D24" s="15">
        <v>54150</v>
      </c>
      <c r="E24" s="15">
        <v>76950</v>
      </c>
      <c r="F24" s="15">
        <v>102600</v>
      </c>
      <c r="G24" s="15">
        <v>121325</v>
      </c>
      <c r="H24" s="15">
        <v>136800</v>
      </c>
      <c r="I24" s="15">
        <v>213750</v>
      </c>
      <c r="J24" s="196"/>
      <c r="K24" s="196"/>
      <c r="L24" s="196"/>
      <c r="M24" s="196"/>
      <c r="N24" s="11"/>
      <c r="O24" s="196"/>
      <c r="P24" s="196"/>
      <c r="Q24" s="196"/>
    </row>
    <row r="25" spans="1:17" ht="15.5" x14ac:dyDescent="0.35">
      <c r="A25" s="12" t="s">
        <v>29</v>
      </c>
      <c r="B25" s="13" t="s">
        <v>43</v>
      </c>
      <c r="C25" s="14">
        <v>34050</v>
      </c>
      <c r="D25" s="15">
        <v>57850</v>
      </c>
      <c r="E25" s="15">
        <v>81650</v>
      </c>
      <c r="F25" s="15">
        <v>102050</v>
      </c>
      <c r="G25" s="20"/>
      <c r="H25" s="15">
        <v>142850</v>
      </c>
      <c r="I25" s="20"/>
      <c r="J25" s="196"/>
      <c r="K25" s="196"/>
      <c r="L25" s="196"/>
      <c r="M25" s="196"/>
      <c r="N25" s="11"/>
      <c r="O25" s="196"/>
      <c r="P25" s="196"/>
      <c r="Q25" s="196"/>
    </row>
    <row r="26" spans="1:17" ht="15.5" x14ac:dyDescent="0.35">
      <c r="A26" s="191" t="s">
        <v>44</v>
      </c>
      <c r="B26" s="192"/>
      <c r="C26" s="192"/>
      <c r="D26" s="192"/>
      <c r="E26" s="192"/>
      <c r="F26" s="192"/>
      <c r="G26" s="192"/>
      <c r="H26" s="192"/>
      <c r="I26" s="195"/>
      <c r="J26" s="11"/>
      <c r="K26" s="21"/>
      <c r="L26" s="11"/>
      <c r="M26" s="11"/>
      <c r="N26" s="11"/>
      <c r="O26" s="11"/>
      <c r="P26" s="11"/>
      <c r="Q26" s="11"/>
    </row>
    <row r="27" spans="1:17" ht="15.5" x14ac:dyDescent="0.35">
      <c r="A27" s="12" t="s">
        <v>32</v>
      </c>
      <c r="B27" s="13" t="s">
        <v>45</v>
      </c>
      <c r="C27" s="15">
        <v>27000</v>
      </c>
      <c r="D27" s="15">
        <v>51300</v>
      </c>
      <c r="E27" s="15">
        <v>72900</v>
      </c>
      <c r="F27" s="15">
        <v>97200</v>
      </c>
      <c r="G27" s="15">
        <v>114750</v>
      </c>
      <c r="H27" s="15">
        <v>129600</v>
      </c>
      <c r="I27" s="15">
        <v>202500</v>
      </c>
      <c r="J27" s="196" t="s">
        <v>34</v>
      </c>
      <c r="K27" s="196"/>
      <c r="L27" s="196"/>
      <c r="M27" s="196"/>
      <c r="N27" s="11"/>
      <c r="O27" s="196" t="s">
        <v>35</v>
      </c>
      <c r="P27" s="196"/>
      <c r="Q27" s="196"/>
    </row>
    <row r="28" spans="1:17" ht="15.5" x14ac:dyDescent="0.35">
      <c r="A28" s="12" t="s">
        <v>25</v>
      </c>
      <c r="B28" s="13" t="s">
        <v>46</v>
      </c>
      <c r="C28" s="15">
        <v>31000</v>
      </c>
      <c r="D28" s="15">
        <v>58900</v>
      </c>
      <c r="E28" s="15">
        <v>83700</v>
      </c>
      <c r="F28" s="15">
        <v>111600</v>
      </c>
      <c r="G28" s="15">
        <v>131750</v>
      </c>
      <c r="H28" s="15">
        <v>148800</v>
      </c>
      <c r="I28" s="15">
        <v>232500</v>
      </c>
      <c r="J28" s="196"/>
      <c r="K28" s="196"/>
      <c r="L28" s="196"/>
      <c r="M28" s="196"/>
      <c r="N28" s="11"/>
      <c r="O28" s="196"/>
      <c r="P28" s="196"/>
      <c r="Q28" s="196"/>
    </row>
    <row r="29" spans="1:17" ht="15.5" x14ac:dyDescent="0.35">
      <c r="A29" s="12" t="s">
        <v>27</v>
      </c>
      <c r="B29" s="13" t="s">
        <v>47</v>
      </c>
      <c r="C29" s="14">
        <v>35000</v>
      </c>
      <c r="D29" s="15">
        <v>66500</v>
      </c>
      <c r="E29" s="15">
        <v>94500</v>
      </c>
      <c r="F29" s="15">
        <v>126000</v>
      </c>
      <c r="G29" s="15">
        <v>148750</v>
      </c>
      <c r="H29" s="15">
        <v>168000</v>
      </c>
      <c r="I29" s="15">
        <v>262500</v>
      </c>
      <c r="J29" s="196"/>
      <c r="K29" s="196"/>
      <c r="L29" s="196"/>
      <c r="M29" s="196"/>
      <c r="N29" s="11"/>
      <c r="O29" s="196"/>
      <c r="P29" s="196"/>
      <c r="Q29" s="196"/>
    </row>
    <row r="30" spans="1:17" ht="15.5" x14ac:dyDescent="0.35">
      <c r="A30" s="12" t="s">
        <v>29</v>
      </c>
      <c r="B30" s="13" t="s">
        <v>48</v>
      </c>
      <c r="C30" s="14">
        <v>38050</v>
      </c>
      <c r="D30" s="15">
        <v>65650</v>
      </c>
      <c r="E30" s="15">
        <v>91250</v>
      </c>
      <c r="F30" s="15">
        <v>114050</v>
      </c>
      <c r="G30" s="20"/>
      <c r="H30" s="15">
        <v>159650</v>
      </c>
      <c r="I30" s="20"/>
      <c r="J30" s="196"/>
      <c r="K30" s="196"/>
      <c r="L30" s="196"/>
      <c r="M30" s="196"/>
      <c r="N30" s="11"/>
      <c r="O30" s="196"/>
      <c r="P30" s="196"/>
      <c r="Q30" s="196"/>
    </row>
    <row r="31" spans="1:17" ht="15.5" x14ac:dyDescent="0.35">
      <c r="A31" s="191" t="s">
        <v>49</v>
      </c>
      <c r="B31" s="192"/>
      <c r="C31" s="192"/>
      <c r="D31" s="192"/>
      <c r="E31" s="192"/>
      <c r="F31" s="192"/>
      <c r="G31" s="192"/>
      <c r="H31" s="192"/>
      <c r="I31" s="192"/>
      <c r="J31" s="11"/>
      <c r="K31" s="11"/>
      <c r="L31" s="11"/>
      <c r="M31" s="11"/>
      <c r="N31" s="11"/>
      <c r="O31" s="11"/>
      <c r="P31" s="11"/>
      <c r="Q31" s="11"/>
    </row>
    <row r="32" spans="1:17" ht="15.5" x14ac:dyDescent="0.35">
      <c r="A32" s="12" t="s">
        <v>50</v>
      </c>
      <c r="B32" s="22" t="s">
        <v>51</v>
      </c>
      <c r="C32" s="23">
        <v>48050</v>
      </c>
      <c r="D32" s="14">
        <v>81650</v>
      </c>
      <c r="E32" s="14">
        <v>114150</v>
      </c>
      <c r="F32" s="14">
        <v>142400</v>
      </c>
      <c r="G32" s="24"/>
      <c r="H32" s="14">
        <v>200008</v>
      </c>
      <c r="I32" s="24"/>
      <c r="J32" s="193" t="s">
        <v>34</v>
      </c>
      <c r="K32" s="193"/>
      <c r="L32" s="193"/>
      <c r="M32" s="193"/>
      <c r="N32" s="11"/>
      <c r="O32" s="193" t="s">
        <v>21</v>
      </c>
      <c r="P32" s="193"/>
      <c r="Q32" s="193"/>
    </row>
    <row r="33" spans="1:17" ht="15.5" x14ac:dyDescent="0.35">
      <c r="A33" s="11"/>
      <c r="B33" s="11"/>
      <c r="C33" s="11"/>
      <c r="D33" s="11"/>
      <c r="E33" s="11"/>
      <c r="F33" s="11"/>
      <c r="G33" s="11"/>
      <c r="H33" s="11"/>
      <c r="I33" s="11"/>
      <c r="J33" s="11"/>
      <c r="K33" s="11"/>
      <c r="L33" s="11"/>
      <c r="M33" s="11"/>
      <c r="N33" s="11"/>
      <c r="O33" s="11"/>
      <c r="P33" s="11"/>
      <c r="Q33" s="11"/>
    </row>
    <row r="34" spans="1:17" ht="15.5" x14ac:dyDescent="0.35">
      <c r="A34" s="11" t="s">
        <v>52</v>
      </c>
      <c r="B34" s="11"/>
      <c r="C34" s="11"/>
      <c r="D34" s="11"/>
      <c r="E34" s="11"/>
      <c r="F34" s="11"/>
      <c r="G34" s="11"/>
      <c r="H34" s="11"/>
      <c r="I34" s="11"/>
      <c r="J34" s="11"/>
      <c r="K34" s="11"/>
      <c r="L34" s="11"/>
      <c r="M34" s="11"/>
      <c r="N34" s="11"/>
      <c r="O34" s="11"/>
      <c r="P34" s="11"/>
      <c r="Q34" s="11"/>
    </row>
    <row r="35" spans="1:17" ht="15.5" x14ac:dyDescent="0.35">
      <c r="A35" s="11" t="s">
        <v>53</v>
      </c>
      <c r="B35" s="11"/>
      <c r="C35" s="11"/>
      <c r="D35" s="11"/>
      <c r="E35" s="11"/>
      <c r="F35" s="11"/>
      <c r="G35" s="11"/>
      <c r="H35" s="11"/>
      <c r="I35" s="11"/>
      <c r="J35" s="11"/>
      <c r="K35" s="11"/>
      <c r="L35" s="11"/>
      <c r="M35" s="11"/>
      <c r="N35" s="11"/>
      <c r="O35" s="11"/>
      <c r="P35" s="11"/>
      <c r="Q35" s="11"/>
    </row>
    <row r="36" spans="1:17" ht="15.5" x14ac:dyDescent="0.35">
      <c r="A36" s="11" t="s">
        <v>54</v>
      </c>
      <c r="B36" s="11"/>
      <c r="C36" s="11"/>
      <c r="D36" s="11"/>
      <c r="E36" s="11"/>
      <c r="F36" s="11"/>
      <c r="G36" s="11"/>
      <c r="H36" s="11"/>
      <c r="I36" s="11"/>
      <c r="J36" s="11"/>
      <c r="K36" s="11"/>
      <c r="L36" s="11"/>
      <c r="M36" s="11"/>
      <c r="N36" s="11"/>
      <c r="O36" s="11"/>
      <c r="P36" s="11"/>
      <c r="Q36" s="11"/>
    </row>
    <row r="37" spans="1:17" ht="15.5" x14ac:dyDescent="0.35">
      <c r="A37" s="11" t="s">
        <v>83</v>
      </c>
      <c r="B37" s="11"/>
      <c r="C37" s="11"/>
      <c r="D37" s="11"/>
      <c r="E37" s="11"/>
      <c r="F37" s="11"/>
      <c r="G37" s="11"/>
      <c r="H37" s="11"/>
      <c r="I37" s="11"/>
      <c r="J37" s="11"/>
      <c r="K37" s="11"/>
      <c r="L37" s="11"/>
      <c r="M37" s="11"/>
      <c r="N37" s="11"/>
      <c r="O37" s="11"/>
      <c r="P37" s="11"/>
      <c r="Q37" s="11"/>
    </row>
    <row r="38" spans="1:17" ht="15.5" x14ac:dyDescent="0.35">
      <c r="A38" s="11"/>
      <c r="B38" s="11"/>
      <c r="C38" s="11"/>
      <c r="D38" s="11"/>
      <c r="E38" s="11"/>
      <c r="F38" s="11"/>
      <c r="G38" s="11"/>
      <c r="H38" s="11"/>
      <c r="I38" s="11"/>
      <c r="J38" s="11"/>
      <c r="K38" s="11"/>
      <c r="L38" s="11"/>
      <c r="M38" s="11"/>
      <c r="N38" s="11"/>
      <c r="O38" s="11"/>
      <c r="P38" s="11"/>
      <c r="Q38" s="11"/>
    </row>
    <row r="41" spans="1:17" x14ac:dyDescent="0.35">
      <c r="C41" s="96"/>
    </row>
  </sheetData>
  <mergeCells count="25">
    <mergeCell ref="I17:I20"/>
    <mergeCell ref="J17:M20"/>
    <mergeCell ref="O17:Q20"/>
    <mergeCell ref="J4:M4"/>
    <mergeCell ref="O4:Q4"/>
    <mergeCell ref="A5:I5"/>
    <mergeCell ref="A6:I6"/>
    <mergeCell ref="J7:M7"/>
    <mergeCell ref="O7:Q7"/>
    <mergeCell ref="A31:I31"/>
    <mergeCell ref="J32:M32"/>
    <mergeCell ref="O32:Q32"/>
    <mergeCell ref="A2:B2"/>
    <mergeCell ref="A21:I21"/>
    <mergeCell ref="J22:M25"/>
    <mergeCell ref="O22:Q25"/>
    <mergeCell ref="A26:I26"/>
    <mergeCell ref="J27:M30"/>
    <mergeCell ref="O27:Q30"/>
    <mergeCell ref="J8:M8"/>
    <mergeCell ref="O8:Q12"/>
    <mergeCell ref="J9:M12"/>
    <mergeCell ref="A15:I15"/>
    <mergeCell ref="A16:I16"/>
    <mergeCell ref="G17:G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98D3A-FA25-4B38-9532-120891C8735C}">
  <sheetPr>
    <tabColor rgb="FFFF0000"/>
  </sheetPr>
  <dimension ref="B2:U21"/>
  <sheetViews>
    <sheetView topLeftCell="I1" zoomScale="205" zoomScaleNormal="205" workbookViewId="0">
      <selection activeCell="R6" sqref="R6"/>
    </sheetView>
  </sheetViews>
  <sheetFormatPr defaultRowHeight="14.5" x14ac:dyDescent="0.35"/>
  <cols>
    <col min="2" max="2" width="26.36328125" bestFit="1" customWidth="1"/>
    <col min="3" max="4" width="8.54296875" bestFit="1" customWidth="1"/>
    <col min="6" max="6" width="5.54296875" bestFit="1" customWidth="1"/>
    <col min="7" max="8" width="5.6328125" bestFit="1" customWidth="1"/>
    <col min="9" max="12" width="6.6328125" bestFit="1" customWidth="1"/>
    <col min="13" max="13" width="6.6328125" customWidth="1"/>
    <col min="14" max="17" width="6.6328125" bestFit="1" customWidth="1"/>
    <col min="21" max="21" width="44.54296875" customWidth="1"/>
  </cols>
  <sheetData>
    <row r="2" spans="2:21" ht="21" x14ac:dyDescent="0.35">
      <c r="B2" s="214" t="s">
        <v>191</v>
      </c>
      <c r="C2" s="215"/>
      <c r="D2" s="216"/>
      <c r="F2" s="207" t="s">
        <v>209</v>
      </c>
      <c r="G2" s="207"/>
      <c r="H2" s="207"/>
      <c r="I2" s="207"/>
      <c r="J2" s="207"/>
      <c r="K2" s="207"/>
      <c r="L2" s="207"/>
      <c r="M2" s="207"/>
      <c r="N2" s="207"/>
      <c r="O2" s="208">
        <v>6875</v>
      </c>
      <c r="P2" s="209"/>
      <c r="Q2" s="209"/>
    </row>
    <row r="3" spans="2:21" ht="15.5" x14ac:dyDescent="0.35">
      <c r="B3" s="76" t="s">
        <v>192</v>
      </c>
      <c r="C3" s="77" t="s">
        <v>193</v>
      </c>
      <c r="D3" s="78" t="s">
        <v>194</v>
      </c>
      <c r="F3" s="210" t="s">
        <v>210</v>
      </c>
      <c r="G3" s="211"/>
      <c r="H3" s="211"/>
      <c r="I3" s="211"/>
      <c r="J3" s="211"/>
      <c r="K3" s="211"/>
      <c r="L3" s="211"/>
      <c r="M3" s="211"/>
      <c r="N3" s="211"/>
      <c r="O3" s="211"/>
      <c r="P3" s="211"/>
      <c r="Q3" s="212"/>
    </row>
    <row r="4" spans="2:21" ht="21.9" customHeight="1" x14ac:dyDescent="0.35">
      <c r="B4" s="79" t="s">
        <v>195</v>
      </c>
      <c r="C4" s="80">
        <v>1</v>
      </c>
      <c r="D4" s="81">
        <f>H4</f>
        <v>1</v>
      </c>
      <c r="F4" s="2" t="s">
        <v>211</v>
      </c>
      <c r="G4" s="2">
        <v>0</v>
      </c>
      <c r="H4" s="2">
        <v>1</v>
      </c>
      <c r="I4" s="2">
        <v>2</v>
      </c>
      <c r="J4" s="2">
        <v>3</v>
      </c>
      <c r="K4" s="2">
        <v>4</v>
      </c>
      <c r="L4" s="2">
        <v>5</v>
      </c>
      <c r="M4" s="2">
        <v>6</v>
      </c>
      <c r="N4" s="2">
        <v>7</v>
      </c>
      <c r="O4" s="2">
        <v>8</v>
      </c>
      <c r="P4" s="2">
        <v>9</v>
      </c>
      <c r="Q4" s="2">
        <v>10</v>
      </c>
    </row>
    <row r="5" spans="2:21" ht="27.9" customHeight="1" x14ac:dyDescent="0.35">
      <c r="B5" s="79" t="s">
        <v>91</v>
      </c>
      <c r="C5" s="80">
        <v>1</v>
      </c>
      <c r="D5" s="82">
        <f>H5*C5</f>
        <v>8475</v>
      </c>
      <c r="F5" s="2" t="s">
        <v>212</v>
      </c>
      <c r="G5" s="85">
        <v>6875</v>
      </c>
      <c r="H5" s="85">
        <v>8475</v>
      </c>
      <c r="I5" s="85">
        <v>10075</v>
      </c>
      <c r="J5" s="85">
        <v>11675</v>
      </c>
      <c r="K5" s="85">
        <v>13275</v>
      </c>
      <c r="L5" s="85">
        <v>14875</v>
      </c>
      <c r="M5" s="85">
        <v>16475</v>
      </c>
      <c r="N5" s="85">
        <v>18075</v>
      </c>
      <c r="O5" s="85">
        <v>19675</v>
      </c>
      <c r="P5" s="85">
        <v>21275</v>
      </c>
      <c r="Q5" s="85">
        <v>22875</v>
      </c>
    </row>
    <row r="6" spans="2:21" x14ac:dyDescent="0.35">
      <c r="B6" s="79" t="s">
        <v>196</v>
      </c>
      <c r="C6" s="80">
        <v>1</v>
      </c>
      <c r="D6" s="82">
        <v>10</v>
      </c>
    </row>
    <row r="7" spans="2:21" ht="15" thickBot="1" x14ac:dyDescent="0.4">
      <c r="B7" s="73" t="s">
        <v>197</v>
      </c>
      <c r="C7" s="74" t="s">
        <v>198</v>
      </c>
      <c r="D7" s="75">
        <f>SUM(D4:D6)</f>
        <v>8486</v>
      </c>
    </row>
    <row r="8" spans="2:21" ht="29" x14ac:dyDescent="0.35">
      <c r="B8" s="79" t="s">
        <v>198</v>
      </c>
      <c r="C8" s="80"/>
      <c r="D8" s="82" t="s">
        <v>198</v>
      </c>
      <c r="F8" s="207" t="s">
        <v>213</v>
      </c>
      <c r="G8" s="207"/>
      <c r="H8" s="207"/>
      <c r="I8" s="207"/>
      <c r="J8" s="207"/>
      <c r="K8" s="207"/>
      <c r="L8" s="207"/>
      <c r="M8" s="207"/>
      <c r="N8" s="207"/>
      <c r="O8" s="208">
        <v>5750</v>
      </c>
      <c r="P8" s="209"/>
      <c r="Q8" s="209"/>
      <c r="U8" s="159" t="s">
        <v>374</v>
      </c>
    </row>
    <row r="9" spans="2:21" ht="29" x14ac:dyDescent="0.35">
      <c r="B9" s="79" t="s">
        <v>199</v>
      </c>
      <c r="C9" s="80">
        <v>1</v>
      </c>
      <c r="D9" s="82">
        <v>640</v>
      </c>
      <c r="F9" s="210" t="s">
        <v>210</v>
      </c>
      <c r="G9" s="211"/>
      <c r="H9" s="211"/>
      <c r="I9" s="211"/>
      <c r="J9" s="211"/>
      <c r="K9" s="211"/>
      <c r="L9" s="211"/>
      <c r="M9" s="211"/>
      <c r="N9" s="211"/>
      <c r="O9" s="211"/>
      <c r="P9" s="211"/>
      <c r="Q9" s="212"/>
      <c r="U9" s="160" t="s">
        <v>375</v>
      </c>
    </row>
    <row r="10" spans="2:21" x14ac:dyDescent="0.35">
      <c r="B10" s="79" t="s">
        <v>200</v>
      </c>
      <c r="C10" s="80">
        <v>1</v>
      </c>
      <c r="D10" s="82">
        <v>2280</v>
      </c>
      <c r="F10" s="2" t="s">
        <v>211</v>
      </c>
      <c r="G10" s="2">
        <v>0</v>
      </c>
      <c r="H10" s="2">
        <v>1</v>
      </c>
      <c r="I10" s="2">
        <v>2</v>
      </c>
      <c r="J10" s="2">
        <v>3</v>
      </c>
      <c r="K10" s="2">
        <v>4</v>
      </c>
      <c r="L10" s="2">
        <v>5</v>
      </c>
      <c r="M10" s="2">
        <v>6</v>
      </c>
      <c r="N10" s="2">
        <v>7</v>
      </c>
      <c r="O10" s="2">
        <v>8</v>
      </c>
      <c r="P10" s="2">
        <v>9</v>
      </c>
      <c r="Q10" s="2">
        <v>10</v>
      </c>
      <c r="U10" s="160"/>
    </row>
    <row r="11" spans="2:21" x14ac:dyDescent="0.35">
      <c r="B11" s="79" t="s">
        <v>201</v>
      </c>
      <c r="C11" s="80">
        <v>1</v>
      </c>
      <c r="D11" s="82">
        <f>H11*C11</f>
        <v>7350</v>
      </c>
      <c r="F11" s="2" t="s">
        <v>212</v>
      </c>
      <c r="G11" s="85">
        <v>5750</v>
      </c>
      <c r="H11" s="85">
        <v>7350</v>
      </c>
      <c r="I11" s="85">
        <v>8950</v>
      </c>
      <c r="J11" s="85">
        <v>10550</v>
      </c>
      <c r="K11" s="85">
        <v>12150</v>
      </c>
      <c r="L11" s="85">
        <v>13750</v>
      </c>
      <c r="M11" s="85">
        <v>15350</v>
      </c>
      <c r="N11" s="85">
        <v>16950</v>
      </c>
      <c r="O11" s="85">
        <v>18550</v>
      </c>
      <c r="P11" s="85">
        <v>20150</v>
      </c>
      <c r="Q11" s="85">
        <v>21750</v>
      </c>
      <c r="U11" s="160" t="s">
        <v>376</v>
      </c>
    </row>
    <row r="12" spans="2:21" x14ac:dyDescent="0.35">
      <c r="B12" s="79" t="s">
        <v>202</v>
      </c>
      <c r="C12" s="80">
        <v>0</v>
      </c>
      <c r="D12" s="82">
        <f>H12*C12</f>
        <v>0</v>
      </c>
      <c r="U12" s="160" t="s">
        <v>377</v>
      </c>
    </row>
    <row r="13" spans="2:21" x14ac:dyDescent="0.35">
      <c r="B13" s="79" t="s">
        <v>203</v>
      </c>
      <c r="C13" s="80">
        <v>1</v>
      </c>
      <c r="D13" s="82">
        <f>H13*C13</f>
        <v>0</v>
      </c>
      <c r="F13" s="204" t="s">
        <v>214</v>
      </c>
      <c r="G13" s="205"/>
      <c r="H13" s="205"/>
      <c r="I13" s="205"/>
      <c r="J13" s="205"/>
      <c r="K13" s="205"/>
      <c r="L13" s="205"/>
      <c r="M13" s="205"/>
      <c r="N13" s="205"/>
      <c r="O13" s="205"/>
      <c r="P13" s="205"/>
      <c r="Q13" s="205"/>
      <c r="R13" s="205"/>
      <c r="S13" s="206"/>
      <c r="U13" s="160" t="s">
        <v>378</v>
      </c>
    </row>
    <row r="14" spans="2:21" x14ac:dyDescent="0.35">
      <c r="B14" s="79" t="s">
        <v>204</v>
      </c>
      <c r="C14" s="80">
        <v>1</v>
      </c>
      <c r="D14" s="82">
        <f>H14*C14</f>
        <v>0</v>
      </c>
      <c r="F14" s="213" t="s">
        <v>215</v>
      </c>
      <c r="G14" s="213"/>
      <c r="H14" s="213"/>
      <c r="I14" s="213"/>
      <c r="J14" s="213"/>
      <c r="K14" s="213"/>
      <c r="L14" s="213"/>
      <c r="M14" s="213"/>
      <c r="N14" s="213"/>
      <c r="O14" s="213"/>
      <c r="P14" s="213"/>
      <c r="Q14" s="213"/>
      <c r="R14" s="213"/>
      <c r="S14" s="213"/>
      <c r="U14" s="160" t="s">
        <v>379</v>
      </c>
    </row>
    <row r="15" spans="2:21" x14ac:dyDescent="0.35">
      <c r="B15" s="79" t="s">
        <v>205</v>
      </c>
      <c r="C15" s="80">
        <v>1</v>
      </c>
      <c r="D15" s="82">
        <f>H15*C15</f>
        <v>0</v>
      </c>
      <c r="F15" s="213" t="s">
        <v>216</v>
      </c>
      <c r="G15" s="213"/>
      <c r="H15" s="213"/>
      <c r="I15" s="213"/>
      <c r="J15" s="213"/>
      <c r="K15" s="213"/>
      <c r="L15" s="213"/>
      <c r="M15" s="213"/>
      <c r="N15" s="213"/>
      <c r="O15" s="213"/>
      <c r="P15" s="213"/>
      <c r="Q15" s="213"/>
      <c r="R15" s="213"/>
      <c r="S15" s="213"/>
      <c r="U15" s="160" t="s">
        <v>380</v>
      </c>
    </row>
    <row r="16" spans="2:21" x14ac:dyDescent="0.35">
      <c r="B16" s="83" t="s">
        <v>206</v>
      </c>
      <c r="C16" s="84" t="s">
        <v>198</v>
      </c>
      <c r="D16" s="75">
        <f>SUM(D9:D15)+D7</f>
        <v>18756</v>
      </c>
      <c r="F16" s="213" t="s">
        <v>217</v>
      </c>
      <c r="G16" s="213"/>
      <c r="H16" s="213"/>
      <c r="I16" s="213"/>
      <c r="J16" s="213"/>
      <c r="K16" s="213"/>
      <c r="L16" s="213"/>
      <c r="M16" s="213"/>
      <c r="N16" s="213"/>
      <c r="O16" s="213"/>
      <c r="P16" s="213"/>
      <c r="Q16" s="213"/>
      <c r="R16" s="213"/>
      <c r="S16" s="213"/>
      <c r="U16" s="160" t="s">
        <v>381</v>
      </c>
    </row>
    <row r="17" spans="2:21" x14ac:dyDescent="0.35">
      <c r="B17" s="80"/>
      <c r="C17" s="80"/>
      <c r="D17" s="80"/>
      <c r="F17" s="204" t="s">
        <v>218</v>
      </c>
      <c r="G17" s="205"/>
      <c r="H17" s="205"/>
      <c r="I17" s="205"/>
      <c r="J17" s="205"/>
      <c r="K17" s="205"/>
      <c r="L17" s="205"/>
      <c r="M17" s="205"/>
      <c r="N17" s="205"/>
      <c r="O17" s="205"/>
      <c r="P17" s="205"/>
      <c r="Q17" s="205"/>
      <c r="R17" s="205"/>
      <c r="S17" s="206"/>
      <c r="U17" s="160" t="s">
        <v>382</v>
      </c>
    </row>
    <row r="18" spans="2:21" x14ac:dyDescent="0.35">
      <c r="B18" s="80" t="s">
        <v>207</v>
      </c>
      <c r="C18" s="80"/>
      <c r="D18" s="80">
        <v>700</v>
      </c>
      <c r="U18" s="160"/>
    </row>
    <row r="19" spans="2:21" x14ac:dyDescent="0.35">
      <c r="B19" s="80" t="s">
        <v>208</v>
      </c>
      <c r="C19" s="80"/>
      <c r="D19" s="80"/>
      <c r="U19" s="160" t="s">
        <v>385</v>
      </c>
    </row>
    <row r="20" spans="2:21" ht="29" x14ac:dyDescent="0.35">
      <c r="U20" s="160" t="s">
        <v>383</v>
      </c>
    </row>
    <row r="21" spans="2:21" ht="15" thickBot="1" x14ac:dyDescent="0.4">
      <c r="U21" s="161" t="s">
        <v>384</v>
      </c>
    </row>
  </sheetData>
  <mergeCells count="12">
    <mergeCell ref="B2:D2"/>
    <mergeCell ref="F2:N2"/>
    <mergeCell ref="O2:Q2"/>
    <mergeCell ref="F3:Q3"/>
    <mergeCell ref="F16:S16"/>
    <mergeCell ref="F13:S13"/>
    <mergeCell ref="F17:S17"/>
    <mergeCell ref="F8:N8"/>
    <mergeCell ref="O8:Q8"/>
    <mergeCell ref="F9:Q9"/>
    <mergeCell ref="F14:S14"/>
    <mergeCell ref="F15:S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57C4-09E4-4B29-93B5-B1CF5DF77AF4}">
  <dimension ref="A1:O26"/>
  <sheetViews>
    <sheetView zoomScale="115" zoomScaleNormal="115" workbookViewId="0">
      <selection activeCell="G7" sqref="G7"/>
    </sheetView>
  </sheetViews>
  <sheetFormatPr defaultRowHeight="14.5" x14ac:dyDescent="0.35"/>
  <cols>
    <col min="1" max="1" width="5.54296875" style="39" customWidth="1"/>
    <col min="2" max="2" width="30.453125" customWidth="1"/>
    <col min="3" max="3" width="22.6328125" customWidth="1"/>
    <col min="15" max="15" width="21" customWidth="1"/>
  </cols>
  <sheetData>
    <row r="1" spans="2:15" ht="21" x14ac:dyDescent="0.35">
      <c r="B1" s="46" t="s">
        <v>130</v>
      </c>
    </row>
    <row r="4" spans="2:15" ht="18.5" x14ac:dyDescent="0.45">
      <c r="B4" s="40" t="s">
        <v>107</v>
      </c>
      <c r="C4" s="2"/>
    </row>
    <row r="5" spans="2:15" ht="15.5" x14ac:dyDescent="0.35">
      <c r="B5" s="37" t="s">
        <v>110</v>
      </c>
      <c r="C5" s="37" t="s">
        <v>111</v>
      </c>
    </row>
    <row r="6" spans="2:15" ht="22.5" customHeight="1" x14ac:dyDescent="0.35">
      <c r="B6" s="38" t="s">
        <v>108</v>
      </c>
      <c r="C6" s="38" t="s">
        <v>112</v>
      </c>
    </row>
    <row r="7" spans="2:15" ht="24" customHeight="1" x14ac:dyDescent="0.35">
      <c r="B7" s="38" t="s">
        <v>109</v>
      </c>
      <c r="C7" s="38" t="s">
        <v>113</v>
      </c>
    </row>
    <row r="9" spans="2:15" ht="25.5" customHeight="1" x14ac:dyDescent="0.35">
      <c r="B9" s="220" t="s">
        <v>114</v>
      </c>
      <c r="C9" s="220"/>
      <c r="D9" s="220"/>
      <c r="E9" s="220"/>
      <c r="F9" s="42"/>
      <c r="G9" s="42"/>
      <c r="H9" s="42"/>
      <c r="I9" s="5"/>
      <c r="J9" s="5"/>
      <c r="K9" s="5"/>
      <c r="L9" s="5"/>
      <c r="M9" s="5"/>
      <c r="N9" s="5"/>
      <c r="O9" s="5"/>
    </row>
    <row r="11" spans="2:15" ht="14.15" customHeight="1" x14ac:dyDescent="0.35"/>
    <row r="12" spans="2:15" ht="20.149999999999999" customHeight="1" x14ac:dyDescent="0.45">
      <c r="B12" s="40" t="s">
        <v>115</v>
      </c>
      <c r="C12" s="224"/>
      <c r="D12" s="225"/>
    </row>
    <row r="13" spans="2:15" ht="15.5" x14ac:dyDescent="0.35">
      <c r="B13" s="37" t="s">
        <v>110</v>
      </c>
      <c r="C13" s="221" t="s">
        <v>111</v>
      </c>
      <c r="D13" s="221"/>
    </row>
    <row r="14" spans="2:15" ht="14.4" customHeight="1" x14ac:dyDescent="0.35">
      <c r="B14" s="2" t="s">
        <v>116</v>
      </c>
      <c r="C14" s="222">
        <v>450</v>
      </c>
      <c r="D14" s="193"/>
    </row>
    <row r="15" spans="2:15" ht="29.4" customHeight="1" x14ac:dyDescent="0.35">
      <c r="B15" s="41" t="s">
        <v>129</v>
      </c>
      <c r="C15" s="196" t="s">
        <v>117</v>
      </c>
      <c r="D15" s="196"/>
    </row>
    <row r="16" spans="2:15" ht="31.5" customHeight="1" x14ac:dyDescent="0.35">
      <c r="B16" s="38" t="s">
        <v>119</v>
      </c>
      <c r="C16" s="223" t="s">
        <v>118</v>
      </c>
      <c r="D16" s="223"/>
    </row>
    <row r="18" spans="1:10" ht="38.4" customHeight="1" x14ac:dyDescent="0.35">
      <c r="B18" s="219" t="s">
        <v>120</v>
      </c>
      <c r="C18" s="219"/>
      <c r="D18" s="219"/>
      <c r="E18" s="219"/>
      <c r="F18" s="219"/>
      <c r="G18" s="219"/>
      <c r="H18" s="219"/>
    </row>
    <row r="20" spans="1:10" ht="15.5" x14ac:dyDescent="0.35">
      <c r="A20" s="43"/>
      <c r="B20" s="218" t="s">
        <v>121</v>
      </c>
      <c r="C20" s="218"/>
      <c r="D20" s="218"/>
      <c r="E20" s="218"/>
      <c r="F20" s="218"/>
      <c r="G20" s="218"/>
      <c r="H20" s="218"/>
      <c r="I20" s="218"/>
      <c r="J20" s="5"/>
    </row>
    <row r="21" spans="1:10" x14ac:dyDescent="0.35">
      <c r="A21" s="44" t="s">
        <v>128</v>
      </c>
      <c r="B21" s="217" t="s">
        <v>122</v>
      </c>
      <c r="C21" s="217"/>
      <c r="D21" s="217"/>
      <c r="E21" s="217"/>
      <c r="F21" s="217"/>
      <c r="G21" s="217"/>
      <c r="H21" s="217"/>
      <c r="I21" s="45"/>
    </row>
    <row r="22" spans="1:10" x14ac:dyDescent="0.35">
      <c r="A22" s="44" t="s">
        <v>128</v>
      </c>
      <c r="B22" s="217" t="s">
        <v>123</v>
      </c>
      <c r="C22" s="217"/>
      <c r="D22" s="217"/>
      <c r="E22" s="217"/>
      <c r="F22" s="217"/>
      <c r="G22" s="217"/>
      <c r="H22" s="217"/>
      <c r="I22" s="217"/>
    </row>
    <row r="23" spans="1:10" x14ac:dyDescent="0.35">
      <c r="A23" s="44" t="s">
        <v>128</v>
      </c>
      <c r="B23" s="217" t="s">
        <v>124</v>
      </c>
      <c r="C23" s="217"/>
      <c r="D23" s="217"/>
      <c r="E23" s="217"/>
      <c r="F23" s="217"/>
      <c r="G23" s="217"/>
      <c r="H23" s="217"/>
      <c r="I23" s="217"/>
    </row>
    <row r="24" spans="1:10" x14ac:dyDescent="0.35">
      <c r="A24" s="44" t="s">
        <v>128</v>
      </c>
      <c r="B24" s="217" t="s">
        <v>125</v>
      </c>
      <c r="C24" s="217"/>
      <c r="D24" s="217"/>
      <c r="E24" s="217"/>
      <c r="F24" s="217"/>
      <c r="G24" s="217"/>
      <c r="H24" s="217"/>
      <c r="I24" s="217"/>
    </row>
    <row r="25" spans="1:10" x14ac:dyDescent="0.35">
      <c r="A25" s="44" t="s">
        <v>128</v>
      </c>
      <c r="B25" s="217" t="s">
        <v>126</v>
      </c>
      <c r="C25" s="217"/>
      <c r="D25" s="217"/>
      <c r="E25" s="217"/>
      <c r="F25" s="217"/>
      <c r="G25" s="217"/>
      <c r="H25" s="217"/>
      <c r="I25" s="217"/>
    </row>
    <row r="26" spans="1:10" x14ac:dyDescent="0.35">
      <c r="A26" s="44" t="s">
        <v>128</v>
      </c>
      <c r="B26" s="217" t="s">
        <v>127</v>
      </c>
      <c r="C26" s="217"/>
      <c r="D26" s="217"/>
      <c r="E26" s="217"/>
      <c r="F26" s="217"/>
      <c r="G26" s="217"/>
      <c r="H26" s="217"/>
      <c r="I26" s="217"/>
    </row>
  </sheetData>
  <mergeCells count="14">
    <mergeCell ref="B20:I20"/>
    <mergeCell ref="B18:H18"/>
    <mergeCell ref="B9:E9"/>
    <mergeCell ref="B21:H21"/>
    <mergeCell ref="C13:D13"/>
    <mergeCell ref="C14:D14"/>
    <mergeCell ref="C15:D15"/>
    <mergeCell ref="C16:D16"/>
    <mergeCell ref="C12:D12"/>
    <mergeCell ref="B22:I22"/>
    <mergeCell ref="B23:I23"/>
    <mergeCell ref="B24:I24"/>
    <mergeCell ref="B25:I25"/>
    <mergeCell ref="B26:I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D6177-A04C-4F88-AD4D-233269BE89AA}">
  <sheetPr>
    <tabColor rgb="FF92D050"/>
  </sheetPr>
  <dimension ref="A1:S23"/>
  <sheetViews>
    <sheetView topLeftCell="C13" zoomScale="145" zoomScaleNormal="145" workbookViewId="0">
      <selection activeCell="F7" sqref="F7"/>
    </sheetView>
  </sheetViews>
  <sheetFormatPr defaultColWidth="8.6328125" defaultRowHeight="14.5" x14ac:dyDescent="0.35"/>
  <cols>
    <col min="1" max="1" width="37.54296875" style="97" hidden="1" customWidth="1"/>
    <col min="2" max="2" width="15.54296875" style="97" hidden="1" customWidth="1"/>
    <col min="3" max="3" width="4.6328125" style="97" customWidth="1"/>
    <col min="4" max="4" width="42.54296875" style="97" customWidth="1"/>
    <col min="5" max="5" width="15.08984375" style="97" customWidth="1"/>
    <col min="6" max="6" width="15.08984375" style="99" customWidth="1"/>
    <col min="7" max="7" width="8.6328125" style="97"/>
    <col min="8" max="8" width="66.90625" style="98" customWidth="1"/>
    <col min="9" max="13" width="8.6328125" style="97"/>
    <col min="14" max="15" width="8.6328125" style="97" hidden="1" customWidth="1"/>
    <col min="16" max="16" width="8.6328125" style="100"/>
    <col min="17" max="16384" width="8.6328125" style="97"/>
  </cols>
  <sheetData>
    <row r="1" spans="1:19" x14ac:dyDescent="0.35">
      <c r="F1" s="97"/>
      <c r="I1" s="99"/>
      <c r="P1" s="97"/>
      <c r="S1" s="100"/>
    </row>
    <row r="2" spans="1:19" x14ac:dyDescent="0.35">
      <c r="F2" s="97"/>
      <c r="I2" s="99"/>
      <c r="P2" s="97"/>
      <c r="S2" s="100"/>
    </row>
    <row r="3" spans="1:19" x14ac:dyDescent="0.35">
      <c r="F3" s="97"/>
      <c r="I3" s="99"/>
      <c r="P3" s="97"/>
      <c r="S3" s="100"/>
    </row>
    <row r="4" spans="1:19" x14ac:dyDescent="0.35">
      <c r="F4" s="97"/>
      <c r="I4" s="99"/>
      <c r="P4" s="97"/>
      <c r="S4" s="100"/>
    </row>
    <row r="5" spans="1:19" ht="31.5" customHeight="1" x14ac:dyDescent="0.35">
      <c r="A5" s="101" t="s">
        <v>240</v>
      </c>
      <c r="B5" s="102" t="s">
        <v>88</v>
      </c>
      <c r="D5" s="27" t="s">
        <v>86</v>
      </c>
      <c r="E5" s="27" t="s">
        <v>87</v>
      </c>
      <c r="F5" s="28" t="s">
        <v>88</v>
      </c>
      <c r="N5" s="97">
        <v>1</v>
      </c>
      <c r="O5" s="97">
        <v>375</v>
      </c>
    </row>
    <row r="6" spans="1:19" x14ac:dyDescent="0.35">
      <c r="A6" s="103" t="s">
        <v>241</v>
      </c>
      <c r="B6" s="104">
        <v>12125</v>
      </c>
      <c r="D6" s="29" t="s">
        <v>89</v>
      </c>
      <c r="E6" s="30">
        <v>1</v>
      </c>
      <c r="F6" s="31">
        <v>12125</v>
      </c>
      <c r="H6" s="35" t="s">
        <v>100</v>
      </c>
      <c r="N6" s="97">
        <v>2</v>
      </c>
      <c r="O6" s="97">
        <v>750</v>
      </c>
    </row>
    <row r="7" spans="1:19" x14ac:dyDescent="0.35">
      <c r="A7" s="103" t="s">
        <v>242</v>
      </c>
      <c r="B7" s="104">
        <v>375</v>
      </c>
      <c r="D7" s="29" t="s">
        <v>90</v>
      </c>
      <c r="E7" s="32">
        <v>1</v>
      </c>
      <c r="F7" s="31">
        <v>375</v>
      </c>
      <c r="H7" s="36" t="s">
        <v>101</v>
      </c>
      <c r="N7" s="97">
        <v>3</v>
      </c>
      <c r="O7" s="97">
        <v>1125</v>
      </c>
    </row>
    <row r="8" spans="1:19" x14ac:dyDescent="0.35">
      <c r="A8" s="103" t="s">
        <v>243</v>
      </c>
      <c r="B8" s="104">
        <v>1850</v>
      </c>
      <c r="D8" s="29" t="s">
        <v>91</v>
      </c>
      <c r="E8" s="30">
        <v>0</v>
      </c>
      <c r="F8" s="31"/>
      <c r="H8" s="36" t="s">
        <v>102</v>
      </c>
      <c r="N8" s="97">
        <v>4</v>
      </c>
      <c r="O8" s="97">
        <v>1500</v>
      </c>
    </row>
    <row r="9" spans="1:19" x14ac:dyDescent="0.35">
      <c r="A9" s="103" t="s">
        <v>244</v>
      </c>
      <c r="B9" s="104">
        <v>2000</v>
      </c>
      <c r="D9" s="29" t="s">
        <v>92</v>
      </c>
      <c r="E9" s="33">
        <v>1</v>
      </c>
      <c r="F9" s="31">
        <v>2000</v>
      </c>
      <c r="H9" s="36" t="s">
        <v>103</v>
      </c>
      <c r="N9" s="97">
        <v>5</v>
      </c>
      <c r="O9" s="97">
        <v>1875</v>
      </c>
    </row>
    <row r="10" spans="1:19" x14ac:dyDescent="0.35">
      <c r="A10" s="103" t="s">
        <v>245</v>
      </c>
      <c r="B10" s="104">
        <v>4000</v>
      </c>
      <c r="D10" s="29" t="s">
        <v>93</v>
      </c>
      <c r="E10" s="30">
        <v>1</v>
      </c>
      <c r="F10" s="31">
        <v>8000</v>
      </c>
      <c r="H10" s="36" t="s">
        <v>104</v>
      </c>
      <c r="N10" s="97">
        <v>6</v>
      </c>
      <c r="O10" s="97">
        <v>2250</v>
      </c>
    </row>
    <row r="11" spans="1:19" x14ac:dyDescent="0.35">
      <c r="A11" s="103" t="s">
        <v>246</v>
      </c>
      <c r="B11" s="104">
        <v>3500</v>
      </c>
      <c r="D11" s="29" t="s">
        <v>94</v>
      </c>
      <c r="E11" s="30">
        <v>0</v>
      </c>
      <c r="F11" s="31">
        <v>0</v>
      </c>
      <c r="H11" s="36" t="s">
        <v>105</v>
      </c>
      <c r="N11" s="97">
        <v>7</v>
      </c>
      <c r="O11" s="97">
        <v>2625</v>
      </c>
    </row>
    <row r="12" spans="1:19" ht="21" x14ac:dyDescent="0.35">
      <c r="A12" s="103" t="s">
        <v>247</v>
      </c>
      <c r="B12" s="104">
        <v>1500</v>
      </c>
      <c r="D12" s="29" t="s">
        <v>95</v>
      </c>
      <c r="E12" s="30">
        <v>0</v>
      </c>
      <c r="F12" s="31">
        <v>0</v>
      </c>
      <c r="H12" s="36" t="s">
        <v>106</v>
      </c>
      <c r="N12" s="97">
        <v>8</v>
      </c>
      <c r="O12" s="97">
        <v>3000</v>
      </c>
    </row>
    <row r="13" spans="1:19" x14ac:dyDescent="0.35">
      <c r="A13" s="103" t="s">
        <v>248</v>
      </c>
      <c r="B13" s="104">
        <v>2250</v>
      </c>
      <c r="D13" s="29" t="s">
        <v>96</v>
      </c>
      <c r="E13" s="30">
        <v>0</v>
      </c>
      <c r="F13" s="31">
        <v>0</v>
      </c>
      <c r="H13" s="105"/>
      <c r="N13" s="97">
        <v>9</v>
      </c>
      <c r="O13" s="97">
        <v>3375</v>
      </c>
    </row>
    <row r="14" spans="1:19" ht="26" x14ac:dyDescent="0.35">
      <c r="A14" s="103" t="s">
        <v>249</v>
      </c>
      <c r="B14" s="106">
        <v>20</v>
      </c>
      <c r="D14" s="29" t="s">
        <v>97</v>
      </c>
      <c r="E14" s="34" t="s">
        <v>98</v>
      </c>
      <c r="F14" s="31">
        <v>20</v>
      </c>
      <c r="N14" s="97">
        <v>10</v>
      </c>
      <c r="O14" s="97">
        <v>3750</v>
      </c>
    </row>
    <row r="15" spans="1:19" ht="33" customHeight="1" x14ac:dyDescent="0.35">
      <c r="D15" s="226" t="s">
        <v>99</v>
      </c>
      <c r="E15" s="227"/>
      <c r="F15" s="28">
        <v>26220</v>
      </c>
    </row>
    <row r="23" spans="4:4" x14ac:dyDescent="0.35">
      <c r="D23" s="105" t="s">
        <v>250</v>
      </c>
    </row>
  </sheetData>
  <mergeCells count="1">
    <mergeCell ref="D15:E15"/>
  </mergeCells>
  <dataValidations count="4">
    <dataValidation type="list" showInputMessage="1" showErrorMessage="1" errorTitle="Error" error="Please select from 0 to 6" sqref="E8 E11:E12" xr:uid="{B3377443-9E70-48E6-B37B-84A835D7A0D4}">
      <formula1>"0,1,2,3,4,5,6"</formula1>
    </dataValidation>
    <dataValidation type="list" showInputMessage="1" showErrorMessage="1" errorTitle="Error" error="Please select from 0 to 3" sqref="E10" xr:uid="{7B5C2FBE-BD44-45E8-8F88-AFCDB635153A}">
      <formula1>"0,1,2,3"</formula1>
    </dataValidation>
    <dataValidation type="list" showInputMessage="1" showErrorMessage="1" errorTitle="Error" error="Please select from 0 to 6_x000a_" sqref="E13" xr:uid="{BEA101A4-20D6-46E2-9C3A-B660D75E7531}">
      <formula1>"0,1,2,3,4,5,6"</formula1>
    </dataValidation>
    <dataValidation type="list" showInputMessage="1" showErrorMessage="1" errorTitle="Value can't be blank" error="Please select license validity" sqref="E6" xr:uid="{6183C0F7-B77D-4C39-8C61-4AC7D42BB4CE}">
      <formula1>"1,2,3,4,5,6,7,8,9,10"</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2CDEC-B774-4472-A730-7FCF63E3FC59}">
  <dimension ref="A1:P33"/>
  <sheetViews>
    <sheetView topLeftCell="E4" zoomScale="160" zoomScaleNormal="160" workbookViewId="0">
      <selection activeCell="M12" sqref="M12"/>
    </sheetView>
  </sheetViews>
  <sheetFormatPr defaultRowHeight="14.5" x14ac:dyDescent="0.35"/>
  <cols>
    <col min="3" max="3" width="20.36328125" customWidth="1"/>
    <col min="4" max="4" width="15.6328125" customWidth="1"/>
    <col min="5" max="5" width="20" customWidth="1"/>
    <col min="6" max="6" width="16.90625" customWidth="1"/>
    <col min="7" max="7" width="23.08984375" customWidth="1"/>
    <col min="8" max="8" width="20.54296875" customWidth="1"/>
    <col min="11" max="11" width="27" customWidth="1"/>
    <col min="12" max="12" width="20.08984375" customWidth="1"/>
    <col min="13" max="13" width="41" customWidth="1"/>
  </cols>
  <sheetData>
    <row r="1" spans="1:16" ht="48" customHeight="1" x14ac:dyDescent="0.35">
      <c r="K1" s="237" t="s">
        <v>295</v>
      </c>
      <c r="L1" s="238"/>
      <c r="M1" s="238"/>
      <c r="N1" s="238"/>
      <c r="O1" s="238"/>
      <c r="P1" s="239"/>
    </row>
    <row r="2" spans="1:16" ht="26" x14ac:dyDescent="0.6">
      <c r="B2" s="240" t="s">
        <v>220</v>
      </c>
      <c r="C2" s="240"/>
      <c r="K2" s="236" t="s">
        <v>281</v>
      </c>
      <c r="L2" s="236"/>
      <c r="M2" s="236"/>
      <c r="N2" s="236"/>
      <c r="O2" s="236"/>
      <c r="P2" s="142"/>
    </row>
    <row r="3" spans="1:16" ht="18.5" x14ac:dyDescent="0.45">
      <c r="A3" s="241"/>
      <c r="B3" s="241"/>
      <c r="C3" s="241"/>
      <c r="D3" s="241"/>
      <c r="E3" s="241"/>
      <c r="F3" s="241"/>
      <c r="G3" s="241"/>
      <c r="H3" s="164" t="s">
        <v>131</v>
      </c>
      <c r="I3" s="164"/>
      <c r="K3" s="236" t="s">
        <v>282</v>
      </c>
      <c r="L3" s="236"/>
      <c r="M3" s="236"/>
      <c r="N3" s="236"/>
      <c r="O3" s="236"/>
      <c r="P3" s="142"/>
    </row>
    <row r="4" spans="1:16" ht="63" x14ac:dyDescent="0.35">
      <c r="A4" s="26"/>
      <c r="B4" s="242" t="s">
        <v>132</v>
      </c>
      <c r="C4" s="242"/>
      <c r="D4" s="25" t="s">
        <v>133</v>
      </c>
      <c r="E4" s="25" t="s">
        <v>134</v>
      </c>
      <c r="F4" s="25" t="s">
        <v>135</v>
      </c>
      <c r="G4" s="25" t="s">
        <v>136</v>
      </c>
      <c r="H4" s="164"/>
      <c r="I4" s="164"/>
      <c r="K4" s="180" t="s">
        <v>283</v>
      </c>
      <c r="L4" s="244" t="s">
        <v>296</v>
      </c>
      <c r="M4" s="245"/>
      <c r="N4" s="245"/>
      <c r="O4" s="246"/>
      <c r="P4" s="143"/>
    </row>
    <row r="5" spans="1:16" ht="27" x14ac:dyDescent="0.35">
      <c r="A5" s="47"/>
      <c r="B5" s="250" t="s">
        <v>137</v>
      </c>
      <c r="C5" s="250"/>
      <c r="D5" s="48" t="s">
        <v>138</v>
      </c>
      <c r="E5" s="48" t="s">
        <v>139</v>
      </c>
      <c r="F5" s="49" t="s">
        <v>140</v>
      </c>
      <c r="G5" s="49" t="s">
        <v>141</v>
      </c>
      <c r="H5" s="49" t="s">
        <v>142</v>
      </c>
      <c r="I5" s="47"/>
      <c r="K5" s="243"/>
      <c r="L5" s="247"/>
      <c r="M5" s="248"/>
      <c r="N5" s="248"/>
      <c r="O5" s="249"/>
      <c r="P5" s="143"/>
    </row>
    <row r="6" spans="1:16" ht="21.5" x14ac:dyDescent="0.35">
      <c r="A6" s="169"/>
      <c r="B6" s="234"/>
      <c r="C6" s="50" t="s">
        <v>143</v>
      </c>
      <c r="D6" s="51" t="s">
        <v>144</v>
      </c>
      <c r="E6" s="52" t="s">
        <v>144</v>
      </c>
      <c r="F6" s="51" t="s">
        <v>144</v>
      </c>
      <c r="G6" s="53" t="s">
        <v>144</v>
      </c>
      <c r="H6" s="54" t="s">
        <v>145</v>
      </c>
      <c r="I6" s="235"/>
      <c r="K6" s="2" t="s">
        <v>285</v>
      </c>
      <c r="L6" s="251" t="s">
        <v>290</v>
      </c>
      <c r="M6" s="252"/>
      <c r="N6" s="2"/>
      <c r="O6" s="143"/>
    </row>
    <row r="7" spans="1:16" ht="19.5" x14ac:dyDescent="0.35">
      <c r="A7" s="169"/>
      <c r="B7" s="234"/>
      <c r="C7" s="55" t="s">
        <v>146</v>
      </c>
      <c r="D7" s="56" t="s">
        <v>147</v>
      </c>
      <c r="E7" s="57" t="s">
        <v>148</v>
      </c>
      <c r="F7" s="58" t="s">
        <v>149</v>
      </c>
      <c r="G7" s="59" t="s">
        <v>150</v>
      </c>
      <c r="H7" s="60" t="s">
        <v>151</v>
      </c>
      <c r="I7" s="235"/>
      <c r="K7" s="2" t="s">
        <v>286</v>
      </c>
      <c r="L7" s="253" t="s">
        <v>291</v>
      </c>
      <c r="M7" s="254"/>
      <c r="N7" s="2"/>
      <c r="O7" s="143"/>
    </row>
    <row r="8" spans="1:16" x14ac:dyDescent="0.35">
      <c r="A8" s="169"/>
      <c r="B8" s="234"/>
      <c r="C8" s="55" t="s">
        <v>152</v>
      </c>
      <c r="D8" s="61" t="s">
        <v>153</v>
      </c>
      <c r="E8" s="62" t="s">
        <v>154</v>
      </c>
      <c r="F8" s="58" t="s">
        <v>154</v>
      </c>
      <c r="G8" s="63" t="s">
        <v>154</v>
      </c>
      <c r="H8" s="64" t="s">
        <v>155</v>
      </c>
      <c r="I8" s="235"/>
      <c r="K8" s="2" t="s">
        <v>287</v>
      </c>
      <c r="L8" s="253" t="s">
        <v>292</v>
      </c>
      <c r="M8" s="254"/>
      <c r="N8" s="2"/>
      <c r="O8" s="143"/>
    </row>
    <row r="9" spans="1:16" x14ac:dyDescent="0.35">
      <c r="A9" s="169"/>
      <c r="B9" s="234"/>
      <c r="C9" s="55" t="s">
        <v>156</v>
      </c>
      <c r="D9" s="61" t="s">
        <v>157</v>
      </c>
      <c r="E9" s="65" t="s">
        <v>158</v>
      </c>
      <c r="F9" s="61" t="s">
        <v>159</v>
      </c>
      <c r="G9" s="59" t="s">
        <v>160</v>
      </c>
      <c r="H9" s="60" t="s">
        <v>161</v>
      </c>
      <c r="I9" s="235"/>
      <c r="K9" s="2" t="s">
        <v>288</v>
      </c>
      <c r="L9" s="146" t="s">
        <v>293</v>
      </c>
      <c r="M9" s="148"/>
      <c r="N9" s="2"/>
      <c r="O9" s="143"/>
    </row>
    <row r="10" spans="1:16" x14ac:dyDescent="0.35">
      <c r="A10" s="169"/>
      <c r="B10" s="234"/>
      <c r="C10" s="55" t="s">
        <v>162</v>
      </c>
      <c r="D10" s="61" t="s">
        <v>144</v>
      </c>
      <c r="E10" s="65" t="s">
        <v>144</v>
      </c>
      <c r="F10" s="61" t="s">
        <v>144</v>
      </c>
      <c r="G10" s="59" t="s">
        <v>144</v>
      </c>
      <c r="H10" s="60" t="s">
        <v>163</v>
      </c>
      <c r="I10" s="235"/>
      <c r="K10" s="2" t="s">
        <v>289</v>
      </c>
      <c r="L10" s="38" t="s">
        <v>294</v>
      </c>
      <c r="M10" s="38"/>
      <c r="N10" s="2"/>
      <c r="O10" s="143"/>
    </row>
    <row r="11" spans="1:16" ht="15" thickBot="1" x14ac:dyDescent="0.4">
      <c r="A11" s="169"/>
      <c r="B11" s="234"/>
      <c r="C11" s="55" t="s">
        <v>164</v>
      </c>
      <c r="D11" s="61" t="s">
        <v>165</v>
      </c>
      <c r="E11" s="65" t="s">
        <v>165</v>
      </c>
      <c r="F11" s="61" t="s">
        <v>165</v>
      </c>
      <c r="G11" s="59" t="s">
        <v>165</v>
      </c>
      <c r="H11" s="60" t="s">
        <v>163</v>
      </c>
      <c r="I11" s="235"/>
      <c r="K11" s="251" t="s">
        <v>297</v>
      </c>
      <c r="L11" s="255"/>
      <c r="M11" s="255"/>
      <c r="N11" s="255"/>
      <c r="O11" s="252"/>
      <c r="P11" s="144"/>
    </row>
    <row r="12" spans="1:16" x14ac:dyDescent="0.35">
      <c r="A12" s="169"/>
      <c r="B12" s="234"/>
      <c r="C12" s="55" t="s">
        <v>166</v>
      </c>
      <c r="D12" s="61" t="s">
        <v>159</v>
      </c>
      <c r="E12" s="65" t="s">
        <v>159</v>
      </c>
      <c r="F12" s="61" t="s">
        <v>159</v>
      </c>
      <c r="G12" s="59" t="s">
        <v>167</v>
      </c>
      <c r="H12" s="60" t="s">
        <v>168</v>
      </c>
      <c r="I12" s="235"/>
    </row>
    <row r="13" spans="1:16" x14ac:dyDescent="0.35">
      <c r="A13" s="169"/>
      <c r="B13" s="234"/>
      <c r="C13" s="55" t="s">
        <v>169</v>
      </c>
      <c r="D13" s="56" t="s">
        <v>170</v>
      </c>
      <c r="E13" s="57" t="s">
        <v>170</v>
      </c>
      <c r="F13" s="56" t="s">
        <v>170</v>
      </c>
      <c r="G13" s="66" t="s">
        <v>170</v>
      </c>
      <c r="H13" s="67" t="s">
        <v>171</v>
      </c>
      <c r="I13" s="235"/>
    </row>
    <row r="14" spans="1:16" ht="18.5" x14ac:dyDescent="0.45">
      <c r="A14" s="169"/>
      <c r="B14" s="234"/>
      <c r="C14" s="55" t="s">
        <v>172</v>
      </c>
      <c r="D14" s="61" t="s">
        <v>144</v>
      </c>
      <c r="E14" s="65" t="s">
        <v>144</v>
      </c>
      <c r="F14" s="61" t="s">
        <v>173</v>
      </c>
      <c r="G14" s="66" t="s">
        <v>174</v>
      </c>
      <c r="H14" s="67" t="s">
        <v>175</v>
      </c>
      <c r="I14" s="235"/>
      <c r="K14" s="236" t="s">
        <v>310</v>
      </c>
      <c r="L14" s="236"/>
      <c r="M14" s="236"/>
      <c r="N14" s="236"/>
      <c r="O14" s="236"/>
    </row>
    <row r="15" spans="1:16" ht="18.5" x14ac:dyDescent="0.45">
      <c r="A15" s="169"/>
      <c r="B15" s="234"/>
      <c r="C15" s="68" t="s">
        <v>176</v>
      </c>
      <c r="D15" s="69" t="s">
        <v>177</v>
      </c>
      <c r="E15" s="70" t="s">
        <v>177</v>
      </c>
      <c r="F15" s="69" t="s">
        <v>178</v>
      </c>
      <c r="G15" s="71" t="s">
        <v>178</v>
      </c>
      <c r="H15" s="72" t="s">
        <v>179</v>
      </c>
      <c r="I15" s="235"/>
      <c r="K15" s="236" t="s">
        <v>282</v>
      </c>
      <c r="L15" s="236"/>
      <c r="M15" s="236"/>
      <c r="N15" s="236"/>
      <c r="O15" s="236"/>
    </row>
    <row r="16" spans="1:16" x14ac:dyDescent="0.35">
      <c r="K16" s="180" t="s">
        <v>283</v>
      </c>
      <c r="L16" s="258" t="s">
        <v>298</v>
      </c>
      <c r="M16" s="256" t="s">
        <v>299</v>
      </c>
      <c r="N16" s="147"/>
      <c r="O16" s="148"/>
    </row>
    <row r="17" spans="2:15" ht="30" customHeight="1" x14ac:dyDescent="0.35">
      <c r="B17" s="233" t="s">
        <v>190</v>
      </c>
      <c r="C17" s="233"/>
      <c r="D17" s="230" t="s">
        <v>180</v>
      </c>
      <c r="E17" s="230"/>
      <c r="K17" s="243"/>
      <c r="L17" s="259"/>
      <c r="M17" s="257"/>
      <c r="N17" s="2"/>
      <c r="O17" s="2"/>
    </row>
    <row r="18" spans="2:15" ht="15" customHeight="1" x14ac:dyDescent="0.35">
      <c r="B18" s="229" t="s">
        <v>181</v>
      </c>
      <c r="C18" s="229"/>
      <c r="D18" s="231" t="s">
        <v>182</v>
      </c>
      <c r="E18" s="231"/>
      <c r="K18" s="2" t="s">
        <v>285</v>
      </c>
      <c r="L18" s="2" t="s">
        <v>300</v>
      </c>
      <c r="M18" s="2" t="s">
        <v>305</v>
      </c>
      <c r="N18" s="2"/>
      <c r="O18" s="2"/>
    </row>
    <row r="19" spans="2:15" ht="27.9" customHeight="1" x14ac:dyDescent="0.35">
      <c r="B19" s="228" t="s">
        <v>183</v>
      </c>
      <c r="C19" s="228"/>
      <c r="D19" s="232" t="s">
        <v>182</v>
      </c>
      <c r="E19" s="232"/>
      <c r="K19" s="2" t="s">
        <v>286</v>
      </c>
      <c r="L19" s="2" t="s">
        <v>301</v>
      </c>
      <c r="M19" s="145" t="s">
        <v>306</v>
      </c>
      <c r="N19" s="2"/>
      <c r="O19" s="2"/>
    </row>
    <row r="20" spans="2:15" ht="27.9" customHeight="1" x14ac:dyDescent="0.35">
      <c r="B20" s="229" t="s">
        <v>184</v>
      </c>
      <c r="C20" s="229"/>
      <c r="D20" s="231" t="s">
        <v>185</v>
      </c>
      <c r="E20" s="231"/>
      <c r="K20" s="2" t="s">
        <v>287</v>
      </c>
      <c r="L20" s="2" t="s">
        <v>302</v>
      </c>
      <c r="M20" s="2" t="s">
        <v>307</v>
      </c>
      <c r="N20" s="2"/>
      <c r="O20" s="2"/>
    </row>
    <row r="21" spans="2:15" ht="27.9" customHeight="1" x14ac:dyDescent="0.35">
      <c r="B21" s="228" t="s">
        <v>186</v>
      </c>
      <c r="C21" s="228"/>
      <c r="D21" s="232" t="s">
        <v>187</v>
      </c>
      <c r="E21" s="232"/>
      <c r="K21" s="2" t="s">
        <v>288</v>
      </c>
      <c r="L21" s="2" t="s">
        <v>303</v>
      </c>
      <c r="M21" s="2" t="s">
        <v>308</v>
      </c>
      <c r="N21" s="2"/>
      <c r="O21" s="2"/>
    </row>
    <row r="22" spans="2:15" ht="21" customHeight="1" x14ac:dyDescent="0.35">
      <c r="B22" s="229" t="s">
        <v>188</v>
      </c>
      <c r="C22" s="229"/>
      <c r="D22" s="231" t="s">
        <v>189</v>
      </c>
      <c r="E22" s="231"/>
      <c r="K22" s="2" t="s">
        <v>289</v>
      </c>
      <c r="L22" s="2" t="s">
        <v>304</v>
      </c>
      <c r="M22" s="2" t="s">
        <v>309</v>
      </c>
      <c r="N22" s="2"/>
      <c r="O22" s="2"/>
    </row>
    <row r="23" spans="2:15" x14ac:dyDescent="0.35">
      <c r="K23" s="251" t="s">
        <v>297</v>
      </c>
      <c r="L23" s="255"/>
      <c r="M23" s="255"/>
      <c r="N23" s="255"/>
      <c r="O23" s="252"/>
    </row>
    <row r="28" spans="2:15" x14ac:dyDescent="0.35">
      <c r="B28" t="s">
        <v>221</v>
      </c>
    </row>
    <row r="29" spans="2:15" x14ac:dyDescent="0.35">
      <c r="B29" s="87" t="s">
        <v>222</v>
      </c>
    </row>
    <row r="31" spans="2:15" x14ac:dyDescent="0.35">
      <c r="D31" t="s">
        <v>281</v>
      </c>
    </row>
    <row r="32" spans="2:15" x14ac:dyDescent="0.35">
      <c r="D32" t="s">
        <v>282</v>
      </c>
    </row>
    <row r="33" spans="4:5" x14ac:dyDescent="0.35">
      <c r="D33" t="s">
        <v>283</v>
      </c>
      <c r="E33" t="s">
        <v>284</v>
      </c>
    </row>
  </sheetData>
  <mergeCells count="35">
    <mergeCell ref="L6:M6"/>
    <mergeCell ref="L7:M7"/>
    <mergeCell ref="L8:M8"/>
    <mergeCell ref="K23:O23"/>
    <mergeCell ref="K16:K17"/>
    <mergeCell ref="M16:M17"/>
    <mergeCell ref="L16:L17"/>
    <mergeCell ref="K11:O11"/>
    <mergeCell ref="K14:O14"/>
    <mergeCell ref="K15:O15"/>
    <mergeCell ref="K2:O2"/>
    <mergeCell ref="K3:O3"/>
    <mergeCell ref="K1:P1"/>
    <mergeCell ref="B2:C2"/>
    <mergeCell ref="A3:G3"/>
    <mergeCell ref="H3:I4"/>
    <mergeCell ref="B4:C4"/>
    <mergeCell ref="K4:K5"/>
    <mergeCell ref="L4:O5"/>
    <mergeCell ref="B5:C5"/>
    <mergeCell ref="A6:A15"/>
    <mergeCell ref="B6:B15"/>
    <mergeCell ref="I6:I15"/>
    <mergeCell ref="B19:C19"/>
    <mergeCell ref="B20:C20"/>
    <mergeCell ref="B21:C21"/>
    <mergeCell ref="B22:C22"/>
    <mergeCell ref="D17:E17"/>
    <mergeCell ref="D18:E18"/>
    <mergeCell ref="D19:E19"/>
    <mergeCell ref="D20:E20"/>
    <mergeCell ref="D21:E21"/>
    <mergeCell ref="D22:E22"/>
    <mergeCell ref="B17:C17"/>
    <mergeCell ref="B18:C18"/>
  </mergeCells>
  <hyperlinks>
    <hyperlink ref="B29" r:id="rId1" display="https://forms.zohopublic.com/ifzafjr/form/DirectImmigrationServiceLettersRequest/formperma/3V9meLRrqk2eyxIZYDHrvJFARsw2QKyF1QiqE0JGYew" xr:uid="{FC8835B7-10F9-4BAE-8DA7-ABDC7D05AF47}"/>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79E39-FB64-404A-B3A3-EE72226F367A}">
  <sheetPr>
    <tabColor theme="8"/>
  </sheetPr>
  <dimension ref="A1:O21"/>
  <sheetViews>
    <sheetView tabSelected="1" zoomScale="160" zoomScaleNormal="160" workbookViewId="0">
      <selection activeCell="C36" sqref="C36"/>
    </sheetView>
  </sheetViews>
  <sheetFormatPr defaultRowHeight="14.5" x14ac:dyDescent="0.35"/>
  <cols>
    <col min="1" max="1" width="25.54296875" style="88" customWidth="1"/>
    <col min="2" max="6" width="8.6328125" style="88"/>
    <col min="13" max="13" width="13.08984375" customWidth="1"/>
  </cols>
  <sheetData>
    <row r="1" spans="1:13" ht="23.5" x14ac:dyDescent="0.35">
      <c r="A1" s="260" t="s">
        <v>223</v>
      </c>
      <c r="B1" s="260"/>
      <c r="C1" s="260"/>
      <c r="D1" s="260"/>
      <c r="E1" s="260"/>
      <c r="F1" s="260"/>
    </row>
    <row r="2" spans="1:13" ht="18.5" x14ac:dyDescent="0.35">
      <c r="A2" s="94" t="s">
        <v>224</v>
      </c>
      <c r="B2" s="261"/>
      <c r="C2" s="262"/>
      <c r="D2" s="262"/>
      <c r="E2" s="262"/>
      <c r="F2" s="263"/>
      <c r="H2" s="270" t="s">
        <v>238</v>
      </c>
      <c r="I2" s="270"/>
      <c r="J2" s="270"/>
      <c r="K2" s="270"/>
      <c r="L2" s="270"/>
      <c r="M2" s="270"/>
    </row>
    <row r="3" spans="1:13" ht="15.5" x14ac:dyDescent="0.35">
      <c r="A3" s="264" t="s">
        <v>225</v>
      </c>
      <c r="B3" s="265"/>
      <c r="C3" s="265"/>
      <c r="D3" s="265"/>
      <c r="E3" s="265"/>
      <c r="F3" s="266"/>
      <c r="H3" s="268" t="s">
        <v>229</v>
      </c>
      <c r="I3" s="268"/>
      <c r="J3" s="268"/>
      <c r="K3" s="268"/>
      <c r="L3" s="268"/>
      <c r="M3" s="268"/>
    </row>
    <row r="4" spans="1:13" ht="15.5" x14ac:dyDescent="0.35">
      <c r="A4" s="89" t="s">
        <v>227</v>
      </c>
      <c r="B4" s="92">
        <v>1</v>
      </c>
      <c r="C4" s="92">
        <v>2</v>
      </c>
      <c r="D4" s="92">
        <v>3</v>
      </c>
      <c r="E4" s="92">
        <v>5</v>
      </c>
      <c r="F4" s="92">
        <v>10</v>
      </c>
      <c r="H4" s="268" t="s">
        <v>230</v>
      </c>
      <c r="I4" s="268"/>
      <c r="J4" s="268"/>
      <c r="K4" s="268"/>
      <c r="L4" s="268"/>
      <c r="M4" s="268"/>
    </row>
    <row r="5" spans="1:13" x14ac:dyDescent="0.35">
      <c r="A5" s="91">
        <v>0</v>
      </c>
      <c r="B5" s="90">
        <v>6875</v>
      </c>
      <c r="C5" s="90">
        <v>13475</v>
      </c>
      <c r="D5" s="90">
        <v>20006</v>
      </c>
      <c r="E5" s="90">
        <v>32656</v>
      </c>
      <c r="F5" s="90">
        <v>61875</v>
      </c>
      <c r="H5" s="268" t="s">
        <v>231</v>
      </c>
      <c r="I5" s="268"/>
      <c r="J5" s="268"/>
      <c r="K5" s="268"/>
      <c r="L5" s="268"/>
      <c r="M5" s="268"/>
    </row>
    <row r="6" spans="1:13" x14ac:dyDescent="0.35">
      <c r="A6" s="91">
        <v>1</v>
      </c>
      <c r="B6" s="90">
        <v>8475</v>
      </c>
      <c r="C6" s="90">
        <v>16611</v>
      </c>
      <c r="D6" s="90">
        <v>24662</v>
      </c>
      <c r="E6" s="90">
        <v>40256</v>
      </c>
      <c r="F6" s="90">
        <v>76275</v>
      </c>
      <c r="H6" s="268" t="s">
        <v>234</v>
      </c>
      <c r="I6" s="268"/>
      <c r="J6" s="268"/>
      <c r="K6" s="268"/>
      <c r="L6" s="268"/>
      <c r="M6" s="268"/>
    </row>
    <row r="7" spans="1:13" x14ac:dyDescent="0.35">
      <c r="A7" s="91">
        <v>2</v>
      </c>
      <c r="B7" s="90">
        <v>10075</v>
      </c>
      <c r="C7" s="90">
        <v>19747</v>
      </c>
      <c r="D7" s="90">
        <v>29318</v>
      </c>
      <c r="E7" s="90">
        <v>47856</v>
      </c>
      <c r="F7" s="90">
        <v>90675</v>
      </c>
      <c r="H7" s="268" t="s">
        <v>232</v>
      </c>
      <c r="I7" s="268"/>
      <c r="J7" s="268"/>
      <c r="K7" s="268"/>
      <c r="L7" s="268"/>
      <c r="M7" s="268"/>
    </row>
    <row r="8" spans="1:13" x14ac:dyDescent="0.35">
      <c r="A8" s="91">
        <v>3</v>
      </c>
      <c r="B8" s="90">
        <v>11675</v>
      </c>
      <c r="C8" s="90">
        <v>22883</v>
      </c>
      <c r="D8" s="90">
        <v>33974</v>
      </c>
      <c r="E8" s="90">
        <v>55456</v>
      </c>
      <c r="F8" s="90">
        <v>105075</v>
      </c>
      <c r="H8" s="268" t="s">
        <v>235</v>
      </c>
      <c r="I8" s="268"/>
      <c r="J8" s="268"/>
      <c r="K8" s="268"/>
      <c r="L8" s="268"/>
      <c r="M8" s="268"/>
    </row>
    <row r="9" spans="1:13" x14ac:dyDescent="0.35">
      <c r="A9" s="91">
        <v>4</v>
      </c>
      <c r="B9" s="90">
        <v>13275</v>
      </c>
      <c r="C9" s="90">
        <v>26019</v>
      </c>
      <c r="D9" s="90">
        <v>38630</v>
      </c>
      <c r="E9" s="90">
        <v>63056</v>
      </c>
      <c r="F9" s="90">
        <v>119475</v>
      </c>
      <c r="H9" s="268" t="s">
        <v>236</v>
      </c>
      <c r="I9" s="268"/>
      <c r="J9" s="268"/>
      <c r="K9" s="268"/>
      <c r="L9" s="268"/>
      <c r="M9" s="268"/>
    </row>
    <row r="10" spans="1:13" x14ac:dyDescent="0.35">
      <c r="A10" s="91">
        <v>5</v>
      </c>
      <c r="B10" s="90">
        <v>14875</v>
      </c>
      <c r="C10" s="90">
        <v>29155</v>
      </c>
      <c r="D10" s="90">
        <v>43286</v>
      </c>
      <c r="E10" s="90">
        <v>70656</v>
      </c>
      <c r="F10" s="90">
        <v>133875</v>
      </c>
      <c r="H10" s="268" t="s">
        <v>237</v>
      </c>
      <c r="I10" s="268"/>
      <c r="J10" s="268"/>
      <c r="K10" s="268"/>
      <c r="L10" s="268"/>
      <c r="M10" s="268"/>
    </row>
    <row r="13" spans="1:13" ht="15.5" x14ac:dyDescent="0.35">
      <c r="A13" s="95" t="s">
        <v>226</v>
      </c>
      <c r="B13" s="261"/>
      <c r="C13" s="262"/>
      <c r="D13" s="262"/>
      <c r="E13" s="262"/>
      <c r="F13" s="263"/>
      <c r="H13" s="269" t="s">
        <v>233</v>
      </c>
      <c r="I13" s="269"/>
      <c r="J13" s="269"/>
      <c r="K13" s="269"/>
      <c r="L13" s="269"/>
      <c r="M13" s="269"/>
    </row>
    <row r="14" spans="1:13" ht="15.5" x14ac:dyDescent="0.35">
      <c r="A14" s="267" t="s">
        <v>225</v>
      </c>
      <c r="B14" s="267"/>
      <c r="C14" s="267"/>
      <c r="D14" s="267"/>
      <c r="E14" s="267"/>
      <c r="F14" s="267"/>
      <c r="H14" s="268" t="s">
        <v>229</v>
      </c>
      <c r="I14" s="268"/>
      <c r="J14" s="268"/>
      <c r="K14" s="268"/>
      <c r="L14" s="268"/>
      <c r="M14" s="268"/>
    </row>
    <row r="15" spans="1:13" ht="15.5" x14ac:dyDescent="0.35">
      <c r="A15" s="89" t="s">
        <v>228</v>
      </c>
      <c r="B15" s="92">
        <v>1</v>
      </c>
      <c r="C15" s="92">
        <v>2</v>
      </c>
      <c r="D15" s="92">
        <v>3</v>
      </c>
      <c r="E15" s="92">
        <v>5</v>
      </c>
      <c r="F15" s="92">
        <v>10</v>
      </c>
      <c r="H15" s="268" t="s">
        <v>230</v>
      </c>
      <c r="I15" s="268"/>
      <c r="J15" s="268"/>
      <c r="K15" s="268"/>
      <c r="L15" s="268"/>
      <c r="M15" s="268"/>
    </row>
    <row r="16" spans="1:13" x14ac:dyDescent="0.35">
      <c r="A16" s="91">
        <v>0</v>
      </c>
      <c r="B16" s="90">
        <v>5750</v>
      </c>
      <c r="C16" s="90">
        <v>11270</v>
      </c>
      <c r="D16" s="90">
        <v>16733</v>
      </c>
      <c r="E16" s="90">
        <v>27313</v>
      </c>
      <c r="F16" s="90">
        <v>51750</v>
      </c>
      <c r="H16" s="268" t="s">
        <v>231</v>
      </c>
      <c r="I16" s="268"/>
      <c r="J16" s="268"/>
      <c r="K16" s="268"/>
      <c r="L16" s="268"/>
      <c r="M16" s="268"/>
    </row>
    <row r="17" spans="1:15" x14ac:dyDescent="0.35">
      <c r="A17" s="91">
        <v>1</v>
      </c>
      <c r="B17" s="90">
        <v>7350</v>
      </c>
      <c r="C17" s="90">
        <v>14406</v>
      </c>
      <c r="D17" s="90">
        <v>21389</v>
      </c>
      <c r="E17" s="90">
        <v>34913</v>
      </c>
      <c r="F17" s="90">
        <v>66150</v>
      </c>
      <c r="H17" s="268" t="s">
        <v>234</v>
      </c>
      <c r="I17" s="268"/>
      <c r="J17" s="268"/>
      <c r="K17" s="268"/>
      <c r="L17" s="268"/>
      <c r="M17" s="268"/>
      <c r="O17" s="93"/>
    </row>
    <row r="18" spans="1:15" x14ac:dyDescent="0.35">
      <c r="A18" s="91">
        <v>2</v>
      </c>
      <c r="B18" s="90">
        <v>8950</v>
      </c>
      <c r="C18" s="90">
        <v>17542</v>
      </c>
      <c r="D18" s="90">
        <v>26045</v>
      </c>
      <c r="E18" s="90">
        <v>42513</v>
      </c>
      <c r="F18" s="90">
        <v>80550</v>
      </c>
      <c r="H18" s="268" t="s">
        <v>232</v>
      </c>
      <c r="I18" s="268"/>
      <c r="J18" s="268"/>
      <c r="K18" s="268"/>
      <c r="L18" s="268"/>
      <c r="M18" s="268"/>
    </row>
    <row r="19" spans="1:15" x14ac:dyDescent="0.35">
      <c r="A19" s="91">
        <v>3</v>
      </c>
      <c r="B19" s="90">
        <v>10550</v>
      </c>
      <c r="C19" s="90">
        <v>20678</v>
      </c>
      <c r="D19" s="90">
        <v>30701</v>
      </c>
      <c r="E19" s="90">
        <v>50113</v>
      </c>
      <c r="F19" s="90">
        <v>94950</v>
      </c>
      <c r="H19" s="268" t="s">
        <v>235</v>
      </c>
      <c r="I19" s="268"/>
      <c r="J19" s="268"/>
      <c r="K19" s="268"/>
      <c r="L19" s="268"/>
      <c r="M19" s="268"/>
    </row>
    <row r="20" spans="1:15" x14ac:dyDescent="0.35">
      <c r="A20" s="91">
        <v>4</v>
      </c>
      <c r="B20" s="90">
        <v>12150</v>
      </c>
      <c r="C20" s="90">
        <v>23814</v>
      </c>
      <c r="D20" s="90">
        <v>35357</v>
      </c>
      <c r="E20" s="90">
        <v>57713</v>
      </c>
      <c r="F20" s="90">
        <v>109350</v>
      </c>
      <c r="H20" s="268" t="s">
        <v>236</v>
      </c>
      <c r="I20" s="268"/>
      <c r="J20" s="268"/>
      <c r="K20" s="268"/>
      <c r="L20" s="268"/>
      <c r="M20" s="268"/>
    </row>
    <row r="21" spans="1:15" x14ac:dyDescent="0.35">
      <c r="A21" s="91">
        <v>5</v>
      </c>
      <c r="B21" s="90">
        <v>13750</v>
      </c>
      <c r="C21" s="90">
        <v>26950</v>
      </c>
      <c r="D21" s="90">
        <v>40013</v>
      </c>
      <c r="E21" s="90">
        <v>65313</v>
      </c>
      <c r="F21" s="90">
        <v>123750</v>
      </c>
    </row>
  </sheetData>
  <mergeCells count="22">
    <mergeCell ref="H18:M18"/>
    <mergeCell ref="H19:M19"/>
    <mergeCell ref="H20:M20"/>
    <mergeCell ref="H16:M16"/>
    <mergeCell ref="H17:M17"/>
    <mergeCell ref="H2:M2"/>
    <mergeCell ref="H3:M3"/>
    <mergeCell ref="H4:M4"/>
    <mergeCell ref="H5:M5"/>
    <mergeCell ref="H6:M6"/>
    <mergeCell ref="H7:M7"/>
    <mergeCell ref="H8:M8"/>
    <mergeCell ref="H13:M13"/>
    <mergeCell ref="H14:M14"/>
    <mergeCell ref="H15:M15"/>
    <mergeCell ref="H9:M9"/>
    <mergeCell ref="H10:M10"/>
    <mergeCell ref="A1:F1"/>
    <mergeCell ref="B2:F2"/>
    <mergeCell ref="A3:F3"/>
    <mergeCell ref="A14:F14"/>
    <mergeCell ref="B13:F13"/>
  </mergeCells>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385D-C243-4896-99E9-554ACFF91CDB}">
  <dimension ref="A1"/>
  <sheetViews>
    <sheetView workbookViewId="0"/>
  </sheetViews>
  <sheetFormatPr defaultRowHeig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31DF-8D9E-4866-8C48-8B61BE74016A}">
  <dimension ref="A1"/>
  <sheetViews>
    <sheetView topLeftCell="T1" workbookViewId="0">
      <selection activeCell="H20" sqref="H20"/>
    </sheetView>
  </sheetViews>
  <sheetFormatPr defaultRowHeight="14.5" x14ac:dyDescent="0.3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563B4-D5ED-4868-AE85-6DE0EAB5EC86}">
  <dimension ref="A1:B7"/>
  <sheetViews>
    <sheetView workbookViewId="0">
      <selection activeCell="B3" sqref="B3"/>
    </sheetView>
  </sheetViews>
  <sheetFormatPr defaultRowHeight="14.5" x14ac:dyDescent="0.35"/>
  <sheetData>
    <row r="1" spans="1:2" x14ac:dyDescent="0.35">
      <c r="A1" t="s">
        <v>386</v>
      </c>
      <c r="B1" s="5" t="s">
        <v>387</v>
      </c>
    </row>
    <row r="3" spans="1:2" x14ac:dyDescent="0.35">
      <c r="B3" t="s">
        <v>388</v>
      </c>
    </row>
    <row r="5" spans="1:2" x14ac:dyDescent="0.35">
      <c r="B5" t="s">
        <v>389</v>
      </c>
    </row>
    <row r="7" spans="1:2" x14ac:dyDescent="0.35">
      <c r="B7" t="s">
        <v>390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8660a9e-fa44-483b-a3f7-14062f613ffb">
      <Terms xmlns="http://schemas.microsoft.com/office/infopath/2007/PartnerControls"/>
    </lcf76f155ced4ddcb4097134ff3c332f>
    <TaxCatchAll xmlns="d2b245e7-3c01-4618-973d-ec2bd7d7cc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02AB112B505B4A9A83B103B9E88803" ma:contentTypeVersion="13" ma:contentTypeDescription="Create a new document." ma:contentTypeScope="" ma:versionID="1fb5a7260fc39039d21d71e0faea01e4">
  <xsd:schema xmlns:xsd="http://www.w3.org/2001/XMLSchema" xmlns:xs="http://www.w3.org/2001/XMLSchema" xmlns:p="http://schemas.microsoft.com/office/2006/metadata/properties" xmlns:ns2="68660a9e-fa44-483b-a3f7-14062f613ffb" xmlns:ns3="d2b245e7-3c01-4618-973d-ec2bd7d7cc56" targetNamespace="http://schemas.microsoft.com/office/2006/metadata/properties" ma:root="true" ma:fieldsID="73b3c8d7e3a0b0e640acf059291b4f1d" ns2:_="" ns3:_="">
    <xsd:import namespace="68660a9e-fa44-483b-a3f7-14062f613ffb"/>
    <xsd:import namespace="d2b245e7-3c01-4618-973d-ec2bd7d7cc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660a9e-fa44-483b-a3f7-14062f613f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81f9711-9db5-4f32-8980-7ba1e4a8a1c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b245e7-3c01-4618-973d-ec2bd7d7cc5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2c4e447-2846-45da-ac48-b8c9089b4163}" ma:internalName="TaxCatchAll" ma:showField="CatchAllData" ma:web="d2b245e7-3c01-4618-973d-ec2bd7d7cc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57650C-207C-46C9-A9D6-E2AA35DB4D82}">
  <ds:schemaRefs>
    <ds:schemaRef ds:uri="http://purl.org/dc/terms/"/>
    <ds:schemaRef ds:uri="http://schemas.microsoft.com/office/infopath/2007/PartnerControls"/>
    <ds:schemaRef ds:uri="d2b245e7-3c01-4618-973d-ec2bd7d7cc56"/>
    <ds:schemaRef ds:uri="http://purl.org/dc/elements/1.1/"/>
    <ds:schemaRef ds:uri="http://purl.org/dc/dcmitype/"/>
    <ds:schemaRef ds:uri="http://www.w3.org/XML/1998/namespace"/>
    <ds:schemaRef ds:uri="http://schemas.openxmlformats.org/package/2006/metadata/core-properties"/>
    <ds:schemaRef ds:uri="http://schemas.microsoft.com/office/2006/documentManagement/types"/>
    <ds:schemaRef ds:uri="68660a9e-fa44-483b-a3f7-14062f613ffb"/>
    <ds:schemaRef ds:uri="http://schemas.microsoft.com/office/2006/metadata/properties"/>
  </ds:schemaRefs>
</ds:datastoreItem>
</file>

<file path=customXml/itemProps2.xml><?xml version="1.0" encoding="utf-8"?>
<ds:datastoreItem xmlns:ds="http://schemas.openxmlformats.org/officeDocument/2006/customXml" ds:itemID="{391E09DB-17A7-4A19-A905-566F52EED36D}">
  <ds:schemaRefs>
    <ds:schemaRef ds:uri="http://schemas.microsoft.com/sharepoint/v3/contenttype/forms"/>
  </ds:schemaRefs>
</ds:datastoreItem>
</file>

<file path=customXml/itemProps3.xml><?xml version="1.0" encoding="utf-8"?>
<ds:datastoreItem xmlns:ds="http://schemas.openxmlformats.org/officeDocument/2006/customXml" ds:itemID="{300B20B9-2CDA-4869-9311-F664CF3A19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660a9e-fa44-483b-a3f7-14062f613ffb"/>
    <ds:schemaRef ds:uri="d2b245e7-3c01-4618-973d-ec2bd7d7cc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Cheapest </vt:lpstr>
      <vt:lpstr>Payment Plans</vt:lpstr>
      <vt:lpstr>AJMAN</vt:lpstr>
      <vt:lpstr>ANC FZ</vt:lpstr>
      <vt:lpstr>RAKEZ</vt:lpstr>
      <vt:lpstr>SHAMS</vt:lpstr>
      <vt:lpstr>DMCC</vt:lpstr>
      <vt:lpstr>MEYDAN 2025</vt:lpstr>
      <vt:lpstr>IFZA</vt:lpstr>
      <vt:lpstr>SPC</vt:lpstr>
      <vt:lpstr>FUJAIRAH</vt:lpstr>
      <vt:lpstr>JAFZA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dc:creator>
  <cp:lastModifiedBy>Ei Myat Noe OO</cp:lastModifiedBy>
  <dcterms:created xsi:type="dcterms:W3CDTF">2025-02-20T11:39:23Z</dcterms:created>
  <dcterms:modified xsi:type="dcterms:W3CDTF">2025-09-16T11:56:49Z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0x0101009002AB112B505B4A9A83B103B9E88803</vt:lpwstr>
  </property>
  <property fmtid="{D5CDD505-2E9C-101B-9397-08002B2CF9AE}" pid="3" name="MediaServiceImageTags">
    <vt:lpwstr/>
  </property>
</Properties>
</file>